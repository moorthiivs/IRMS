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 defaultThemeVersion="124226"/>
  <bookViews>
    <workbookView xWindow="-120" yWindow="-120" windowWidth="24240" windowHeight="13740" firstSheet="2" activeTab="2"/>
  </bookViews>
  <sheets>
    <sheet name="Mc shop updated" sheetId="1" state="hidden" r:id="rId1"/>
    <sheet name="03.06.26" sheetId="4" state="hidden" r:id="rId2"/>
    <sheet name="Sheet1" sheetId="5" r:id="rId3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W14" i="5"/>
  <c r="LV14"/>
  <c r="LU14"/>
  <c r="G83"/>
  <c r="G82"/>
  <c r="LP81"/>
  <c r="LQ81" s="1"/>
  <c r="LO81"/>
  <c r="LS81" s="1"/>
  <c r="LN81"/>
  <c r="G81"/>
  <c r="LS80"/>
  <c r="LP80"/>
  <c r="LQ80" s="1"/>
  <c r="LO80"/>
  <c r="LR80" s="1"/>
  <c r="LN80"/>
  <c r="G80"/>
  <c r="LS79"/>
  <c r="LP79"/>
  <c r="LQ79" s="1"/>
  <c r="LO79"/>
  <c r="LN79"/>
  <c r="G79"/>
  <c r="LP78"/>
  <c r="LQ78" s="1"/>
  <c r="LO78"/>
  <c r="LN78"/>
  <c r="G78"/>
  <c r="LP77"/>
  <c r="LQ77" s="1"/>
  <c r="LO77"/>
  <c r="LS77" s="1"/>
  <c r="LN77"/>
  <c r="G77"/>
  <c r="LS76"/>
  <c r="LQ76"/>
  <c r="LP76"/>
  <c r="LO76"/>
  <c r="LR76" s="1"/>
  <c r="LT76" s="1"/>
  <c r="LN76"/>
  <c r="G76"/>
  <c r="LS75"/>
  <c r="LP75"/>
  <c r="LQ75" s="1"/>
  <c r="LO75"/>
  <c r="LN75"/>
  <c r="G75"/>
  <c r="LP74"/>
  <c r="LQ74" s="1"/>
  <c r="LO74"/>
  <c r="LN74"/>
  <c r="G74"/>
  <c r="LP73"/>
  <c r="LQ73" s="1"/>
  <c r="LO73"/>
  <c r="LN73"/>
  <c r="G73"/>
  <c r="LS72"/>
  <c r="LQ72"/>
  <c r="LP72"/>
  <c r="LO72"/>
  <c r="LR72" s="1"/>
  <c r="LN72"/>
  <c r="G72"/>
  <c r="LS71"/>
  <c r="LP71"/>
  <c r="LQ71" s="1"/>
  <c r="LO71"/>
  <c r="LN71"/>
  <c r="G71"/>
  <c r="LP70"/>
  <c r="LQ70" s="1"/>
  <c r="LO70"/>
  <c r="LR70" s="1"/>
  <c r="LN70"/>
  <c r="G70"/>
  <c r="LS69"/>
  <c r="LP69"/>
  <c r="LQ69" s="1"/>
  <c r="LO69"/>
  <c r="LR69" s="1"/>
  <c r="LT69" s="1"/>
  <c r="LN69"/>
  <c r="G69"/>
  <c r="LS68"/>
  <c r="LP68"/>
  <c r="LQ68" s="1"/>
  <c r="LO68"/>
  <c r="LR68" s="1"/>
  <c r="LN68"/>
  <c r="G68"/>
  <c r="LP67"/>
  <c r="LQ67" s="1"/>
  <c r="LO67"/>
  <c r="LN67"/>
  <c r="G67"/>
  <c r="LS66"/>
  <c r="LP66"/>
  <c r="LQ66" s="1"/>
  <c r="LO66"/>
  <c r="LR66" s="1"/>
  <c r="LT66" s="1"/>
  <c r="LN66"/>
  <c r="LP65"/>
  <c r="LQ65" s="1"/>
  <c r="LO65"/>
  <c r="LR65" s="1"/>
  <c r="LN65"/>
  <c r="G65"/>
  <c r="LP63"/>
  <c r="LQ63" s="1"/>
  <c r="LO63"/>
  <c r="LN63"/>
  <c r="G63"/>
  <c r="G62"/>
  <c r="LP61"/>
  <c r="LQ61" s="1"/>
  <c r="LO61"/>
  <c r="LS61" s="1"/>
  <c r="LN61"/>
  <c r="G61"/>
  <c r="LP60"/>
  <c r="LQ60" s="1"/>
  <c r="LO60"/>
  <c r="LN60"/>
  <c r="G60"/>
  <c r="LP59"/>
  <c r="LQ59" s="1"/>
  <c r="LO59"/>
  <c r="LR59" s="1"/>
  <c r="LN59"/>
  <c r="G59"/>
  <c r="LP58"/>
  <c r="LQ58" s="1"/>
  <c r="LO58"/>
  <c r="LN58"/>
  <c r="G58"/>
  <c r="LP57"/>
  <c r="LQ57" s="1"/>
  <c r="LO57"/>
  <c r="LR57" s="1"/>
  <c r="LN57"/>
  <c r="G57"/>
  <c r="LP56"/>
  <c r="LQ56" s="1"/>
  <c r="LO56"/>
  <c r="LS56" s="1"/>
  <c r="LN56"/>
  <c r="LP55"/>
  <c r="LQ55" s="1"/>
  <c r="LO55"/>
  <c r="LN55"/>
  <c r="G55"/>
  <c r="G54"/>
  <c r="LP53"/>
  <c r="LQ53" s="1"/>
  <c r="LO53"/>
  <c r="LR53" s="1"/>
  <c r="LN53"/>
  <c r="LP52"/>
  <c r="LQ52" s="1"/>
  <c r="LO52"/>
  <c r="LN52"/>
  <c r="G52"/>
  <c r="G51"/>
  <c r="LP50"/>
  <c r="LQ50" s="1"/>
  <c r="LO50"/>
  <c r="LR50" s="1"/>
  <c r="LN50"/>
  <c r="G50"/>
  <c r="LP49"/>
  <c r="LQ49" s="1"/>
  <c r="LO49"/>
  <c r="LR49" s="1"/>
  <c r="LN49"/>
  <c r="G49"/>
  <c r="LP48"/>
  <c r="LQ48" s="1"/>
  <c r="LO48"/>
  <c r="LR48" s="1"/>
  <c r="LN48"/>
  <c r="G48"/>
  <c r="LP47"/>
  <c r="LQ47" s="1"/>
  <c r="LO47"/>
  <c r="LR47" s="1"/>
  <c r="LN47"/>
  <c r="G47"/>
  <c r="LP46"/>
  <c r="LQ46" s="1"/>
  <c r="LO46"/>
  <c r="LR46" s="1"/>
  <c r="LN46"/>
  <c r="G46"/>
  <c r="LP45"/>
  <c r="LQ45" s="1"/>
  <c r="LO45"/>
  <c r="LR45" s="1"/>
  <c r="LN45"/>
  <c r="G45"/>
  <c r="LP44"/>
  <c r="LQ44" s="1"/>
  <c r="LO44"/>
  <c r="LR44" s="1"/>
  <c r="LN44"/>
  <c r="G44"/>
  <c r="LP43"/>
  <c r="LQ43" s="1"/>
  <c r="LO43"/>
  <c r="LR43" s="1"/>
  <c r="LN43"/>
  <c r="G43"/>
  <c r="LP42"/>
  <c r="LQ42" s="1"/>
  <c r="LO42"/>
  <c r="LR42" s="1"/>
  <c r="LN42"/>
  <c r="G42"/>
  <c r="LP41"/>
  <c r="LQ41" s="1"/>
  <c r="LO41"/>
  <c r="LR41" s="1"/>
  <c r="LN41"/>
  <c r="G41"/>
  <c r="LP40"/>
  <c r="LQ40" s="1"/>
  <c r="LO40"/>
  <c r="LR40" s="1"/>
  <c r="LN40"/>
  <c r="G40"/>
  <c r="LP39"/>
  <c r="LQ39" s="1"/>
  <c r="LO39"/>
  <c r="LR39" s="1"/>
  <c r="LN39"/>
  <c r="G39"/>
  <c r="LP38"/>
  <c r="LQ38" s="1"/>
  <c r="LO38"/>
  <c r="LR38" s="1"/>
  <c r="LN38"/>
  <c r="G38"/>
  <c r="LP37"/>
  <c r="LQ37" s="1"/>
  <c r="LO37"/>
  <c r="LN37"/>
  <c r="G37"/>
  <c r="LP36"/>
  <c r="LQ36" s="1"/>
  <c r="LO36"/>
  <c r="LR36" s="1"/>
  <c r="LN36"/>
  <c r="G36"/>
  <c r="LP35"/>
  <c r="LQ35" s="1"/>
  <c r="LO35"/>
  <c r="LN35"/>
  <c r="G35"/>
  <c r="LP34"/>
  <c r="LQ34" s="1"/>
  <c r="LO34"/>
  <c r="LR34" s="1"/>
  <c r="LT34" s="1"/>
  <c r="LN34"/>
  <c r="G34"/>
  <c r="LP33"/>
  <c r="LQ33" s="1"/>
  <c r="LO33"/>
  <c r="LN33"/>
  <c r="G33"/>
  <c r="LP32"/>
  <c r="LQ32" s="1"/>
  <c r="LO32"/>
  <c r="LR32" s="1"/>
  <c r="LN32"/>
  <c r="G32"/>
  <c r="LP31"/>
  <c r="LQ31" s="1"/>
  <c r="LO31"/>
  <c r="LN31"/>
  <c r="G31"/>
  <c r="LP30"/>
  <c r="LQ30" s="1"/>
  <c r="LO30"/>
  <c r="LN30"/>
  <c r="G30"/>
  <c r="LP29"/>
  <c r="LQ29" s="1"/>
  <c r="LO29"/>
  <c r="LN29"/>
  <c r="G29"/>
  <c r="LP28"/>
  <c r="LQ28" s="1"/>
  <c r="LO28"/>
  <c r="LN28"/>
  <c r="G28"/>
  <c r="LP27"/>
  <c r="LQ27" s="1"/>
  <c r="LO27"/>
  <c r="LN27"/>
  <c r="G27"/>
  <c r="LP26"/>
  <c r="LQ26" s="1"/>
  <c r="LO26"/>
  <c r="LN26"/>
  <c r="G26"/>
  <c r="LP25"/>
  <c r="LQ25" s="1"/>
  <c r="LO25"/>
  <c r="LN25"/>
  <c r="G25"/>
  <c r="LP24"/>
  <c r="LQ24" s="1"/>
  <c r="LO24"/>
  <c r="LN24"/>
  <c r="G24"/>
  <c r="LP23"/>
  <c r="LQ23" s="1"/>
  <c r="LO23"/>
  <c r="LN23"/>
  <c r="G23"/>
  <c r="LP22"/>
  <c r="LQ22" s="1"/>
  <c r="LO22"/>
  <c r="LN22"/>
  <c r="G22"/>
  <c r="LP21"/>
  <c r="LQ21" s="1"/>
  <c r="LO21"/>
  <c r="LN21"/>
  <c r="G21"/>
  <c r="LP20"/>
  <c r="LQ20" s="1"/>
  <c r="LO20"/>
  <c r="LN20"/>
  <c r="G20"/>
  <c r="LP19"/>
  <c r="LQ19" s="1"/>
  <c r="LO19"/>
  <c r="LN19"/>
  <c r="G19"/>
  <c r="LP18"/>
  <c r="LQ18" s="1"/>
  <c r="LO18"/>
  <c r="LN18"/>
  <c r="G18"/>
  <c r="LP17"/>
  <c r="LQ17" s="1"/>
  <c r="LO17"/>
  <c r="LN17"/>
  <c r="LP16"/>
  <c r="LQ16" s="1"/>
  <c r="LO16"/>
  <c r="LN16"/>
  <c r="G16"/>
  <c r="G15"/>
  <c r="LP9"/>
  <c r="LQ9" s="1"/>
  <c r="LO9"/>
  <c r="LN9"/>
  <c r="G9"/>
  <c r="LP8"/>
  <c r="LO8"/>
  <c r="LN8"/>
  <c r="LP7"/>
  <c r="LO7"/>
  <c r="LN7"/>
  <c r="LK8" i="4"/>
  <c r="LL8"/>
  <c r="LM8" s="1"/>
  <c r="LK9"/>
  <c r="LL9"/>
  <c r="LM9" s="1"/>
  <c r="LK11"/>
  <c r="LL11"/>
  <c r="LM11" s="1"/>
  <c r="LK12"/>
  <c r="LL12"/>
  <c r="LM12" s="1"/>
  <c r="LK13"/>
  <c r="LL13"/>
  <c r="LM13" s="1"/>
  <c r="LK14"/>
  <c r="LL14"/>
  <c r="LM14" s="1"/>
  <c r="LK15"/>
  <c r="LL15"/>
  <c r="LM15" s="1"/>
  <c r="LK16"/>
  <c r="LL16"/>
  <c r="LM16" s="1"/>
  <c r="LK17"/>
  <c r="LL17"/>
  <c r="LM17" s="1"/>
  <c r="LK18"/>
  <c r="LL18"/>
  <c r="LM18" s="1"/>
  <c r="LK19"/>
  <c r="LL19"/>
  <c r="LM19" s="1"/>
  <c r="LK20"/>
  <c r="LL20"/>
  <c r="LM20" s="1"/>
  <c r="LK21"/>
  <c r="LL21"/>
  <c r="LM21" s="1"/>
  <c r="LK22"/>
  <c r="LL22"/>
  <c r="LM22" s="1"/>
  <c r="LK23"/>
  <c r="LL23"/>
  <c r="LM23" s="1"/>
  <c r="LK24"/>
  <c r="LL24"/>
  <c r="LM24" s="1"/>
  <c r="LK25"/>
  <c r="LL25"/>
  <c r="LM25" s="1"/>
  <c r="LK26"/>
  <c r="LL26"/>
  <c r="LM26" s="1"/>
  <c r="LK27"/>
  <c r="LL27"/>
  <c r="LM27" s="1"/>
  <c r="LK28"/>
  <c r="LL28"/>
  <c r="LM28" s="1"/>
  <c r="LK29"/>
  <c r="LL29"/>
  <c r="LM29" s="1"/>
  <c r="LK30"/>
  <c r="LL30"/>
  <c r="LM30" s="1"/>
  <c r="LK31"/>
  <c r="LL31"/>
  <c r="LM31" s="1"/>
  <c r="LK32"/>
  <c r="LL32"/>
  <c r="LM32" s="1"/>
  <c r="LK33"/>
  <c r="LL33"/>
  <c r="LM33" s="1"/>
  <c r="LK34"/>
  <c r="LL34"/>
  <c r="LM34" s="1"/>
  <c r="LK35"/>
  <c r="LL35"/>
  <c r="LM35" s="1"/>
  <c r="LK36"/>
  <c r="LL36"/>
  <c r="LM36" s="1"/>
  <c r="LK37"/>
  <c r="LL37"/>
  <c r="LM37" s="1"/>
  <c r="LK38"/>
  <c r="LL38"/>
  <c r="LM38" s="1"/>
  <c r="LK39"/>
  <c r="LL39"/>
  <c r="LM39" s="1"/>
  <c r="LK40"/>
  <c r="LL40"/>
  <c r="LM40" s="1"/>
  <c r="LK41"/>
  <c r="LL41"/>
  <c r="LM41" s="1"/>
  <c r="LK42"/>
  <c r="LL42"/>
  <c r="LM42" s="1"/>
  <c r="LK43"/>
  <c r="LL43"/>
  <c r="LM43" s="1"/>
  <c r="LK44"/>
  <c r="LL44"/>
  <c r="LM44" s="1"/>
  <c r="LK45"/>
  <c r="LL45"/>
  <c r="LM45" s="1"/>
  <c r="LK47"/>
  <c r="LL47"/>
  <c r="LM47" s="1"/>
  <c r="LK48"/>
  <c r="LL48"/>
  <c r="LM48" s="1"/>
  <c r="LK50"/>
  <c r="LL50"/>
  <c r="LM50" s="1"/>
  <c r="LK51"/>
  <c r="LL51"/>
  <c r="LM51" s="1"/>
  <c r="LK52"/>
  <c r="LL52"/>
  <c r="LM52" s="1"/>
  <c r="LK53"/>
  <c r="LL53"/>
  <c r="LM53" s="1"/>
  <c r="LK54"/>
  <c r="LL54"/>
  <c r="LM54" s="1"/>
  <c r="LK55"/>
  <c r="LL55"/>
  <c r="LM55" s="1"/>
  <c r="LK56"/>
  <c r="LL56"/>
  <c r="LM56" s="1"/>
  <c r="LK58"/>
  <c r="LL58"/>
  <c r="LM58" s="1"/>
  <c r="LK60"/>
  <c r="LL60"/>
  <c r="LM60" s="1"/>
  <c r="LK61"/>
  <c r="LL61"/>
  <c r="LM61" s="1"/>
  <c r="LK62"/>
  <c r="LL62"/>
  <c r="LM62" s="1"/>
  <c r="LK63"/>
  <c r="LL63"/>
  <c r="LM63" s="1"/>
  <c r="LK64"/>
  <c r="LL64"/>
  <c r="LM64" s="1"/>
  <c r="LK65"/>
  <c r="LL65"/>
  <c r="LM65" s="1"/>
  <c r="LK66"/>
  <c r="LL66"/>
  <c r="LM66" s="1"/>
  <c r="LK67"/>
  <c r="LL67"/>
  <c r="LM67" s="1"/>
  <c r="LK68"/>
  <c r="LL68"/>
  <c r="LM68" s="1"/>
  <c r="LK69"/>
  <c r="LL69"/>
  <c r="LM69" s="1"/>
  <c r="LK70"/>
  <c r="LL70"/>
  <c r="LM70" s="1"/>
  <c r="LK71"/>
  <c r="LL71"/>
  <c r="LM71" s="1"/>
  <c r="LK72"/>
  <c r="LL72"/>
  <c r="LM72" s="1"/>
  <c r="LK73"/>
  <c r="LL73"/>
  <c r="LM73" s="1"/>
  <c r="LK74"/>
  <c r="LL74"/>
  <c r="LM74" s="1"/>
  <c r="LK75"/>
  <c r="LL75"/>
  <c r="LM75" s="1"/>
  <c r="LK76"/>
  <c r="LL76"/>
  <c r="LM76" s="1"/>
  <c r="LL7"/>
  <c r="LM7" s="1"/>
  <c r="LK7"/>
  <c r="LJ8"/>
  <c r="LJ9"/>
  <c r="LJ11"/>
  <c r="LJ12"/>
  <c r="LJ13"/>
  <c r="LJ14"/>
  <c r="LJ15"/>
  <c r="LJ16"/>
  <c r="LJ17"/>
  <c r="LJ18"/>
  <c r="LJ19"/>
  <c r="LJ20"/>
  <c r="LJ21"/>
  <c r="LJ22"/>
  <c r="LJ23"/>
  <c r="LJ24"/>
  <c r="LJ25"/>
  <c r="LJ26"/>
  <c r="LJ27"/>
  <c r="LJ28"/>
  <c r="LJ29"/>
  <c r="LJ30"/>
  <c r="LJ31"/>
  <c r="LJ32"/>
  <c r="LJ33"/>
  <c r="LJ34"/>
  <c r="LJ35"/>
  <c r="LJ36"/>
  <c r="LJ37"/>
  <c r="LJ38"/>
  <c r="LJ39"/>
  <c r="LJ40"/>
  <c r="LJ41"/>
  <c r="LJ42"/>
  <c r="LJ43"/>
  <c r="LJ44"/>
  <c r="LJ45"/>
  <c r="LJ47"/>
  <c r="LJ48"/>
  <c r="LJ50"/>
  <c r="LJ51"/>
  <c r="LJ52"/>
  <c r="LJ53"/>
  <c r="LJ54"/>
  <c r="LJ55"/>
  <c r="LJ56"/>
  <c r="LJ58"/>
  <c r="LJ60"/>
  <c r="LJ61"/>
  <c r="LJ62"/>
  <c r="LJ63"/>
  <c r="LJ64"/>
  <c r="LJ65"/>
  <c r="LJ66"/>
  <c r="LJ67"/>
  <c r="LJ68"/>
  <c r="LJ69"/>
  <c r="LJ70"/>
  <c r="LJ71"/>
  <c r="LJ72"/>
  <c r="LJ73"/>
  <c r="LJ74"/>
  <c r="LJ75"/>
  <c r="LJ76"/>
  <c r="LJ7"/>
  <c r="G78"/>
  <c r="G77"/>
  <c r="G76"/>
  <c r="G75"/>
  <c r="G74"/>
  <c r="G73"/>
  <c r="G72"/>
  <c r="G71"/>
  <c r="G70"/>
  <c r="G69"/>
  <c r="G68"/>
  <c r="G67"/>
  <c r="G66"/>
  <c r="G65"/>
  <c r="G64"/>
  <c r="G63"/>
  <c r="G62"/>
  <c r="G60"/>
  <c r="G58"/>
  <c r="G57"/>
  <c r="G56"/>
  <c r="G55"/>
  <c r="G54"/>
  <c r="G53"/>
  <c r="G52"/>
  <c r="G50"/>
  <c r="G49"/>
  <c r="G47"/>
  <c r="G46"/>
  <c r="G45"/>
  <c r="G44"/>
  <c r="G43"/>
  <c r="G42"/>
  <c r="G41"/>
  <c r="G40"/>
  <c r="G39"/>
  <c r="G38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1"/>
  <c r="G10"/>
  <c r="G9"/>
  <c r="LT65" i="5" l="1"/>
  <c r="LT70"/>
  <c r="LR52"/>
  <c r="LS55"/>
  <c r="LS58"/>
  <c r="LR60"/>
  <c r="LR74"/>
  <c r="LT74" s="1"/>
  <c r="LR78"/>
  <c r="LR17"/>
  <c r="LR19"/>
  <c r="LR21"/>
  <c r="LR23"/>
  <c r="LR25"/>
  <c r="LR27"/>
  <c r="LR29"/>
  <c r="LR31"/>
  <c r="LR33"/>
  <c r="LR35"/>
  <c r="LR37"/>
  <c r="LT68"/>
  <c r="LR9"/>
  <c r="LR58"/>
  <c r="LR71"/>
  <c r="LT71" s="1"/>
  <c r="LR75"/>
  <c r="LT75" s="1"/>
  <c r="LR79"/>
  <c r="LT79" s="1"/>
  <c r="LS59"/>
  <c r="LT59" s="1"/>
  <c r="LS63"/>
  <c r="LS73"/>
  <c r="LR56"/>
  <c r="LT56" s="1"/>
  <c r="LR61"/>
  <c r="LT61" s="1"/>
  <c r="LR63"/>
  <c r="LS67"/>
  <c r="LT72"/>
  <c r="LT80"/>
  <c r="LR16"/>
  <c r="LR18"/>
  <c r="LR20"/>
  <c r="LR22"/>
  <c r="LR24"/>
  <c r="LT24" s="1"/>
  <c r="LR26"/>
  <c r="LR28"/>
  <c r="LR30"/>
  <c r="LS57"/>
  <c r="LT57" s="1"/>
  <c r="LS65"/>
  <c r="LS70"/>
  <c r="LS74"/>
  <c r="LS78"/>
  <c r="LR55"/>
  <c r="LR67"/>
  <c r="LR73"/>
  <c r="LT73" s="1"/>
  <c r="LR77"/>
  <c r="LT77" s="1"/>
  <c r="LR81"/>
  <c r="LT81" s="1"/>
  <c r="LT38"/>
  <c r="LT53"/>
  <c r="LT55"/>
  <c r="LT20"/>
  <c r="LT21"/>
  <c r="LS16"/>
  <c r="LT16" s="1"/>
  <c r="LS9"/>
  <c r="LT9" s="1"/>
  <c r="LS17"/>
  <c r="LS18"/>
  <c r="LT18" s="1"/>
  <c r="LS19"/>
  <c r="LT19" s="1"/>
  <c r="LS20"/>
  <c r="LS21"/>
  <c r="LS22"/>
  <c r="LT22" s="1"/>
  <c r="LS23"/>
  <c r="LT23" s="1"/>
  <c r="LS24"/>
  <c r="LS25"/>
  <c r="LT25" s="1"/>
  <c r="LS26"/>
  <c r="LS27"/>
  <c r="LT27" s="1"/>
  <c r="LS28"/>
  <c r="LS29"/>
  <c r="LT29" s="1"/>
  <c r="LS30"/>
  <c r="LS31"/>
  <c r="LT31" s="1"/>
  <c r="LS32"/>
  <c r="LT32" s="1"/>
  <c r="LS33"/>
  <c r="LS52"/>
  <c r="LT52" s="1"/>
  <c r="LS36"/>
  <c r="LT36" s="1"/>
  <c r="LS38"/>
  <c r="LS40"/>
  <c r="LT40" s="1"/>
  <c r="LS42"/>
  <c r="LT42" s="1"/>
  <c r="LS44"/>
  <c r="LT44" s="1"/>
  <c r="LS46"/>
  <c r="LT46" s="1"/>
  <c r="LS47"/>
  <c r="LT47" s="1"/>
  <c r="LS49"/>
  <c r="LT49" s="1"/>
  <c r="LS50"/>
  <c r="LT50" s="1"/>
  <c r="LS53"/>
  <c r="LS60"/>
  <c r="LT60" s="1"/>
  <c r="LS35"/>
  <c r="LS37"/>
  <c r="LT37" s="1"/>
  <c r="LS39"/>
  <c r="LT39" s="1"/>
  <c r="LS41"/>
  <c r="LT41" s="1"/>
  <c r="LS43"/>
  <c r="LT43" s="1"/>
  <c r="LS45"/>
  <c r="LT45" s="1"/>
  <c r="LS48"/>
  <c r="LT48" s="1"/>
  <c r="LN29" i="4"/>
  <c r="LP29" s="1"/>
  <c r="LN76"/>
  <c r="LO76"/>
  <c r="LO75"/>
  <c r="LN75"/>
  <c r="LN74"/>
  <c r="LP74" s="1"/>
  <c r="LO74"/>
  <c r="LO73"/>
  <c r="LN73"/>
  <c r="LN72"/>
  <c r="LO72"/>
  <c r="LN71"/>
  <c r="LP71" s="1"/>
  <c r="LO71"/>
  <c r="LO70"/>
  <c r="LN70"/>
  <c r="LP70" s="1"/>
  <c r="LN69"/>
  <c r="LP69" s="1"/>
  <c r="LO69"/>
  <c r="LN68"/>
  <c r="LP68" s="1"/>
  <c r="LO68"/>
  <c r="LO67"/>
  <c r="LN67"/>
  <c r="LO66"/>
  <c r="LN66"/>
  <c r="LN65"/>
  <c r="LO65"/>
  <c r="LO64"/>
  <c r="LN64"/>
  <c r="LO63"/>
  <c r="LN63"/>
  <c r="LN62"/>
  <c r="LO62"/>
  <c r="LO61"/>
  <c r="LN61"/>
  <c r="LP61" s="1"/>
  <c r="LO60"/>
  <c r="LN60"/>
  <c r="LO58"/>
  <c r="LN58"/>
  <c r="LO56"/>
  <c r="LN56"/>
  <c r="LO55"/>
  <c r="LN55"/>
  <c r="LO54"/>
  <c r="LN54"/>
  <c r="LO53"/>
  <c r="LN53"/>
  <c r="LO52"/>
  <c r="LN52"/>
  <c r="LN51"/>
  <c r="LO51"/>
  <c r="LO50"/>
  <c r="LN50"/>
  <c r="LO48"/>
  <c r="LN48"/>
  <c r="LO47"/>
  <c r="LN47"/>
  <c r="LN45"/>
  <c r="LO45"/>
  <c r="LO44"/>
  <c r="LN44"/>
  <c r="LO43"/>
  <c r="LN43"/>
  <c r="LO42"/>
  <c r="LN42"/>
  <c r="LN41"/>
  <c r="LO41"/>
  <c r="LO40"/>
  <c r="LN40"/>
  <c r="LN39"/>
  <c r="LO39"/>
  <c r="LO38"/>
  <c r="LN38"/>
  <c r="LN37"/>
  <c r="LO37"/>
  <c r="LO36"/>
  <c r="LN36"/>
  <c r="LN35"/>
  <c r="LO35"/>
  <c r="LO34"/>
  <c r="LN34"/>
  <c r="LN33"/>
  <c r="LO33"/>
  <c r="LO32"/>
  <c r="LN32"/>
  <c r="LN31"/>
  <c r="LO31"/>
  <c r="LN30"/>
  <c r="LO30"/>
  <c r="LN28"/>
  <c r="LO28"/>
  <c r="LN27"/>
  <c r="LO27"/>
  <c r="LN26"/>
  <c r="LO26"/>
  <c r="LN25"/>
  <c r="LO25"/>
  <c r="LN24"/>
  <c r="LO24"/>
  <c r="LO23"/>
  <c r="LN23"/>
  <c r="LO22"/>
  <c r="LN22"/>
  <c r="LO21"/>
  <c r="LN21"/>
  <c r="LO20"/>
  <c r="LN20"/>
  <c r="LO19"/>
  <c r="LN19"/>
  <c r="LO18"/>
  <c r="LN18"/>
  <c r="LO17"/>
  <c r="LN17"/>
  <c r="LN16"/>
  <c r="LO16"/>
  <c r="LO15"/>
  <c r="LN15"/>
  <c r="LO14"/>
  <c r="LN14"/>
  <c r="LN13"/>
  <c r="LO13"/>
  <c r="LO12"/>
  <c r="LN12"/>
  <c r="LN11"/>
  <c r="LO11"/>
  <c r="LN9"/>
  <c r="LO9"/>
  <c r="LN8"/>
  <c r="LO8"/>
  <c r="LN7"/>
  <c r="LO7"/>
  <c r="T73" i="1"/>
  <c r="U73" s="1"/>
  <c r="S73"/>
  <c r="R73"/>
  <c r="G73"/>
  <c r="T72"/>
  <c r="U72" s="1"/>
  <c r="S72"/>
  <c r="R72"/>
  <c r="G72"/>
  <c r="T71"/>
  <c r="U71" s="1"/>
  <c r="S71"/>
  <c r="R71"/>
  <c r="G71"/>
  <c r="T70"/>
  <c r="U70" s="1"/>
  <c r="S70"/>
  <c r="R70"/>
  <c r="G70"/>
  <c r="T69"/>
  <c r="U69" s="1"/>
  <c r="S69"/>
  <c r="R69"/>
  <c r="G69"/>
  <c r="T68"/>
  <c r="U68" s="1"/>
  <c r="S68"/>
  <c r="R68"/>
  <c r="G68"/>
  <c r="T67"/>
  <c r="U67" s="1"/>
  <c r="S67"/>
  <c r="R67"/>
  <c r="G67"/>
  <c r="T66"/>
  <c r="U66" s="1"/>
  <c r="S66"/>
  <c r="R66"/>
  <c r="G66"/>
  <c r="T65"/>
  <c r="U65" s="1"/>
  <c r="S65"/>
  <c r="R65"/>
  <c r="G65"/>
  <c r="T64"/>
  <c r="U64" s="1"/>
  <c r="S64"/>
  <c r="R64"/>
  <c r="G64"/>
  <c r="T63"/>
  <c r="U63" s="1"/>
  <c r="S63"/>
  <c r="R63"/>
  <c r="G63"/>
  <c r="T62"/>
  <c r="U62" s="1"/>
  <c r="S62"/>
  <c r="R62"/>
  <c r="G62"/>
  <c r="T61"/>
  <c r="U61" s="1"/>
  <c r="S61"/>
  <c r="R61"/>
  <c r="G61"/>
  <c r="T60"/>
  <c r="U60" s="1"/>
  <c r="S60"/>
  <c r="R60"/>
  <c r="G60"/>
  <c r="T59"/>
  <c r="U59" s="1"/>
  <c r="S59"/>
  <c r="R59"/>
  <c r="G59"/>
  <c r="T58"/>
  <c r="U58" s="1"/>
  <c r="S58"/>
  <c r="R58"/>
  <c r="G58"/>
  <c r="T57"/>
  <c r="U57" s="1"/>
  <c r="S57"/>
  <c r="R57"/>
  <c r="G57"/>
  <c r="T56"/>
  <c r="U56" s="1"/>
  <c r="S56"/>
  <c r="R56"/>
  <c r="G56"/>
  <c r="T55"/>
  <c r="U55" s="1"/>
  <c r="S55"/>
  <c r="R55"/>
  <c r="G55"/>
  <c r="T54"/>
  <c r="U54" s="1"/>
  <c r="S54"/>
  <c r="R54"/>
  <c r="G54"/>
  <c r="T53"/>
  <c r="U53" s="1"/>
  <c r="S53"/>
  <c r="R53"/>
  <c r="G53"/>
  <c r="T52"/>
  <c r="U52" s="1"/>
  <c r="S52"/>
  <c r="R52"/>
  <c r="G52"/>
  <c r="T51"/>
  <c r="U51" s="1"/>
  <c r="S51"/>
  <c r="R51"/>
  <c r="G51"/>
  <c r="T50"/>
  <c r="U50" s="1"/>
  <c r="S50"/>
  <c r="R50"/>
  <c r="G50"/>
  <c r="T49"/>
  <c r="U49" s="1"/>
  <c r="S49"/>
  <c r="R49"/>
  <c r="G49"/>
  <c r="T48"/>
  <c r="U48" s="1"/>
  <c r="S48"/>
  <c r="R48"/>
  <c r="G48"/>
  <c r="T47"/>
  <c r="U47" s="1"/>
  <c r="S47"/>
  <c r="R47"/>
  <c r="G47"/>
  <c r="T46"/>
  <c r="U46" s="1"/>
  <c r="S46"/>
  <c r="R46"/>
  <c r="G46"/>
  <c r="T45"/>
  <c r="U45" s="1"/>
  <c r="S45"/>
  <c r="R45"/>
  <c r="G45"/>
  <c r="T44"/>
  <c r="U44" s="1"/>
  <c r="S44"/>
  <c r="R44"/>
  <c r="G44"/>
  <c r="T43"/>
  <c r="U43" s="1"/>
  <c r="S43"/>
  <c r="R43"/>
  <c r="G43"/>
  <c r="T42"/>
  <c r="U42" s="1"/>
  <c r="S42"/>
  <c r="R42"/>
  <c r="G42"/>
  <c r="T41"/>
  <c r="U41" s="1"/>
  <c r="S41"/>
  <c r="R41"/>
  <c r="G41"/>
  <c r="T40"/>
  <c r="U40" s="1"/>
  <c r="S40"/>
  <c r="R40"/>
  <c r="G40"/>
  <c r="T39"/>
  <c r="U39" s="1"/>
  <c r="S39"/>
  <c r="R39"/>
  <c r="G39"/>
  <c r="T38"/>
  <c r="U38" s="1"/>
  <c r="S38"/>
  <c r="R38"/>
  <c r="G38"/>
  <c r="T37"/>
  <c r="U37" s="1"/>
  <c r="S37"/>
  <c r="R37"/>
  <c r="G37"/>
  <c r="T36"/>
  <c r="U36" s="1"/>
  <c r="S36"/>
  <c r="R36"/>
  <c r="G36"/>
  <c r="T35"/>
  <c r="U35" s="1"/>
  <c r="S35"/>
  <c r="R35"/>
  <c r="G35"/>
  <c r="T34"/>
  <c r="U34" s="1"/>
  <c r="S34"/>
  <c r="R34"/>
  <c r="G34"/>
  <c r="T33"/>
  <c r="U33" s="1"/>
  <c r="S33"/>
  <c r="R33"/>
  <c r="G33"/>
  <c r="T32"/>
  <c r="U32" s="1"/>
  <c r="S32"/>
  <c r="R32"/>
  <c r="G32"/>
  <c r="T31"/>
  <c r="U31" s="1"/>
  <c r="S31"/>
  <c r="R31"/>
  <c r="G31"/>
  <c r="T30"/>
  <c r="U30" s="1"/>
  <c r="S30"/>
  <c r="V30" s="1"/>
  <c r="X30" s="1"/>
  <c r="R30"/>
  <c r="G30"/>
  <c r="T29"/>
  <c r="U29" s="1"/>
  <c r="S29"/>
  <c r="R29"/>
  <c r="G29"/>
  <c r="T28"/>
  <c r="U28" s="1"/>
  <c r="S28"/>
  <c r="R28"/>
  <c r="G28"/>
  <c r="T27"/>
  <c r="U27" s="1"/>
  <c r="S27"/>
  <c r="R27"/>
  <c r="G27"/>
  <c r="T26"/>
  <c r="U26" s="1"/>
  <c r="S26"/>
  <c r="R26"/>
  <c r="G26"/>
  <c r="T25"/>
  <c r="U25" s="1"/>
  <c r="S25"/>
  <c r="R25"/>
  <c r="G25"/>
  <c r="T24"/>
  <c r="U24" s="1"/>
  <c r="S24"/>
  <c r="R24"/>
  <c r="G24"/>
  <c r="T23"/>
  <c r="U23" s="1"/>
  <c r="S23"/>
  <c r="R23"/>
  <c r="G23"/>
  <c r="T22"/>
  <c r="U22" s="1"/>
  <c r="S22"/>
  <c r="R22"/>
  <c r="G22"/>
  <c r="T21"/>
  <c r="U21" s="1"/>
  <c r="S21"/>
  <c r="R21"/>
  <c r="G21"/>
  <c r="T20"/>
  <c r="U20" s="1"/>
  <c r="S20"/>
  <c r="R20"/>
  <c r="G20"/>
  <c r="T19"/>
  <c r="U19" s="1"/>
  <c r="S19"/>
  <c r="R19"/>
  <c r="G19"/>
  <c r="T18"/>
  <c r="U18" s="1"/>
  <c r="S18"/>
  <c r="R18"/>
  <c r="G18"/>
  <c r="T17"/>
  <c r="U17" s="1"/>
  <c r="S17"/>
  <c r="R17"/>
  <c r="G17"/>
  <c r="T16"/>
  <c r="U16" s="1"/>
  <c r="S16"/>
  <c r="R16"/>
  <c r="G16"/>
  <c r="T15"/>
  <c r="U15" s="1"/>
  <c r="S15"/>
  <c r="R15"/>
  <c r="G15"/>
  <c r="T14"/>
  <c r="U14" s="1"/>
  <c r="S14"/>
  <c r="R14"/>
  <c r="G14"/>
  <c r="T13"/>
  <c r="U13" s="1"/>
  <c r="S13"/>
  <c r="R13"/>
  <c r="G13"/>
  <c r="T12"/>
  <c r="U12" s="1"/>
  <c r="S12"/>
  <c r="R12"/>
  <c r="G12"/>
  <c r="T11"/>
  <c r="U11" s="1"/>
  <c r="S11"/>
  <c r="R11"/>
  <c r="G11"/>
  <c r="T10"/>
  <c r="U10" s="1"/>
  <c r="S10"/>
  <c r="R10"/>
  <c r="G10"/>
  <c r="T9"/>
  <c r="U9" s="1"/>
  <c r="S9"/>
  <c r="R9"/>
  <c r="G9"/>
  <c r="LT33" i="5" l="1"/>
  <c r="LT17"/>
  <c r="LT26"/>
  <c r="LT67"/>
  <c r="LT28"/>
  <c r="LT35"/>
  <c r="LT30"/>
  <c r="LT58"/>
  <c r="LT63"/>
  <c r="LT78"/>
  <c r="LP62" i="4"/>
  <c r="LP66"/>
  <c r="LP65"/>
  <c r="LP64"/>
  <c r="LP63"/>
  <c r="LP42"/>
  <c r="LP55"/>
  <c r="LP35"/>
  <c r="LP34"/>
  <c r="LP13"/>
  <c r="LP12"/>
  <c r="LP58"/>
  <c r="LP56"/>
  <c r="LP51"/>
  <c r="LP41"/>
  <c r="LP39"/>
  <c r="LP19"/>
  <c r="LP17"/>
  <c r="LP9"/>
  <c r="LP73"/>
  <c r="LP72"/>
  <c r="LP54"/>
  <c r="LP53"/>
  <c r="LP52"/>
  <c r="LP11"/>
  <c r="LP14"/>
  <c r="LP16"/>
  <c r="LP24"/>
  <c r="LP26"/>
  <c r="LP28"/>
  <c r="LP43"/>
  <c r="LP48"/>
  <c r="LP75"/>
  <c r="LP15"/>
  <c r="LP21"/>
  <c r="LP23"/>
  <c r="LP32"/>
  <c r="LP36"/>
  <c r="LP38"/>
  <c r="LP40"/>
  <c r="LP44"/>
  <c r="LP47"/>
  <c r="LP60"/>
  <c r="LP76"/>
  <c r="LP67"/>
  <c r="LP37"/>
  <c r="LP31"/>
  <c r="LP25"/>
  <c r="LP8"/>
  <c r="LP50"/>
  <c r="LP7"/>
  <c r="LP45"/>
  <c r="LP33"/>
  <c r="LP30"/>
  <c r="LP27"/>
  <c r="LP22"/>
  <c r="LP20"/>
  <c r="LP18"/>
  <c r="W26" i="1"/>
  <c r="V26"/>
  <c r="X26" s="1"/>
  <c r="W17"/>
  <c r="V17"/>
  <c r="X17" s="1"/>
  <c r="W73"/>
  <c r="V73"/>
  <c r="X73" s="1"/>
  <c r="W72"/>
  <c r="V72"/>
  <c r="X72" s="1"/>
  <c r="W71"/>
  <c r="V71"/>
  <c r="X71" s="1"/>
  <c r="W70"/>
  <c r="V70"/>
  <c r="X70" s="1"/>
  <c r="W69"/>
  <c r="V69"/>
  <c r="X69" s="1"/>
  <c r="W68"/>
  <c r="V68"/>
  <c r="X68" s="1"/>
  <c r="W67"/>
  <c r="V67"/>
  <c r="X67" s="1"/>
  <c r="W66"/>
  <c r="V66"/>
  <c r="X66" s="1"/>
  <c r="W65"/>
  <c r="V65"/>
  <c r="X65" s="1"/>
  <c r="W64"/>
  <c r="V64"/>
  <c r="X64" s="1"/>
  <c r="W63"/>
  <c r="V63"/>
  <c r="X63" s="1"/>
  <c r="W62"/>
  <c r="V62"/>
  <c r="X62" s="1"/>
  <c r="W61"/>
  <c r="V61"/>
  <c r="X61" s="1"/>
  <c r="W60"/>
  <c r="V60"/>
  <c r="X60" s="1"/>
  <c r="W59"/>
  <c r="V59"/>
  <c r="X59" s="1"/>
  <c r="W58"/>
  <c r="V58"/>
  <c r="X58" s="1"/>
  <c r="W57"/>
  <c r="V57"/>
  <c r="X57" s="1"/>
  <c r="W56"/>
  <c r="V56"/>
  <c r="X56" s="1"/>
  <c r="W55"/>
  <c r="V55"/>
  <c r="X55" s="1"/>
  <c r="W54"/>
  <c r="V54"/>
  <c r="X54" s="1"/>
  <c r="W53"/>
  <c r="V53"/>
  <c r="X53" s="1"/>
  <c r="V52"/>
  <c r="X52" s="1"/>
  <c r="W52"/>
  <c r="W51"/>
  <c r="V51"/>
  <c r="X51" s="1"/>
  <c r="V50"/>
  <c r="X50" s="1"/>
  <c r="W50"/>
  <c r="W49"/>
  <c r="V49"/>
  <c r="X49" s="1"/>
  <c r="W48"/>
  <c r="V48"/>
  <c r="X48" s="1"/>
  <c r="W47"/>
  <c r="V47"/>
  <c r="X47" s="1"/>
  <c r="V46"/>
  <c r="X46" s="1"/>
  <c r="W46"/>
  <c r="V45"/>
  <c r="X45" s="1"/>
  <c r="W45"/>
  <c r="W44"/>
  <c r="V44"/>
  <c r="X44" s="1"/>
  <c r="W43"/>
  <c r="V43"/>
  <c r="X43" s="1"/>
  <c r="W42"/>
  <c r="V42"/>
  <c r="X42" s="1"/>
  <c r="W41"/>
  <c r="V41"/>
  <c r="X41" s="1"/>
  <c r="V40"/>
  <c r="X40" s="1"/>
  <c r="W40"/>
  <c r="V39"/>
  <c r="X39" s="1"/>
  <c r="W39"/>
  <c r="V38"/>
  <c r="X38" s="1"/>
  <c r="W38"/>
  <c r="V37"/>
  <c r="X37" s="1"/>
  <c r="W37"/>
  <c r="W36"/>
  <c r="V36"/>
  <c r="X36" s="1"/>
  <c r="W35"/>
  <c r="V35"/>
  <c r="X35" s="1"/>
  <c r="W34"/>
  <c r="V34"/>
  <c r="X34" s="1"/>
  <c r="W33"/>
  <c r="V33"/>
  <c r="X33" s="1"/>
  <c r="V32"/>
  <c r="X32" s="1"/>
  <c r="W32"/>
  <c r="W31"/>
  <c r="V31"/>
  <c r="X31" s="1"/>
  <c r="V29"/>
  <c r="X29" s="1"/>
  <c r="W29"/>
  <c r="W28"/>
  <c r="V28"/>
  <c r="X28" s="1"/>
  <c r="V27"/>
  <c r="X27" s="1"/>
  <c r="W27"/>
  <c r="V25"/>
  <c r="X25" s="1"/>
  <c r="W25"/>
  <c r="W24"/>
  <c r="V24"/>
  <c r="X24" s="1"/>
  <c r="V23"/>
  <c r="X23" s="1"/>
  <c r="W23"/>
  <c r="V22"/>
  <c r="X22" s="1"/>
  <c r="W22"/>
  <c r="W21"/>
  <c r="V21"/>
  <c r="X21" s="1"/>
  <c r="V20"/>
  <c r="X20" s="1"/>
  <c r="W20"/>
  <c r="W19"/>
  <c r="V19"/>
  <c r="X19" s="1"/>
  <c r="V18"/>
  <c r="X18" s="1"/>
  <c r="W18"/>
  <c r="V16"/>
  <c r="X16" s="1"/>
  <c r="W16"/>
  <c r="V15"/>
  <c r="X15" s="1"/>
  <c r="W15"/>
  <c r="W14"/>
  <c r="V14"/>
  <c r="X14" s="1"/>
  <c r="W13"/>
  <c r="V13"/>
  <c r="X13" s="1"/>
  <c r="W12"/>
  <c r="V12"/>
  <c r="X12" s="1"/>
  <c r="W11"/>
  <c r="V11"/>
  <c r="X11" s="1"/>
  <c r="V10"/>
  <c r="X10" s="1"/>
  <c r="W10"/>
  <c r="V9"/>
  <c r="X9" s="1"/>
  <c r="W9"/>
</calcChain>
</file>

<file path=xl/sharedStrings.xml><?xml version="1.0" encoding="utf-8"?>
<sst xmlns="http://schemas.openxmlformats.org/spreadsheetml/2006/main" count="1445" uniqueCount="130">
  <si>
    <t xml:space="preserve">Product-wise Critical Quality Characterisitc </t>
  </si>
  <si>
    <t>Plant</t>
  </si>
  <si>
    <t>Aluminimum Pumps Plant (Plant 2)</t>
  </si>
  <si>
    <t>Module</t>
  </si>
  <si>
    <t>Mahindra</t>
  </si>
  <si>
    <t>Source</t>
  </si>
  <si>
    <t>Machine shop</t>
  </si>
  <si>
    <t>Line Inspection</t>
  </si>
  <si>
    <t>Date</t>
  </si>
  <si>
    <t>Sample Size (n)</t>
  </si>
  <si>
    <t>Average (X-bar)</t>
  </si>
  <si>
    <t>Sigma</t>
  </si>
  <si>
    <t>Cp</t>
  </si>
  <si>
    <t>CpU</t>
  </si>
  <si>
    <t>CpL</t>
  </si>
  <si>
    <t>Cpk</t>
  </si>
  <si>
    <t>Shift</t>
  </si>
  <si>
    <t>Product Description</t>
  </si>
  <si>
    <t>Part Number</t>
  </si>
  <si>
    <t>Machine Number</t>
  </si>
  <si>
    <t>Quality Characteristic</t>
  </si>
  <si>
    <t>Specification</t>
  </si>
  <si>
    <t>Sample 1</t>
  </si>
  <si>
    <t>Sample 2</t>
  </si>
  <si>
    <t>Sample 3</t>
  </si>
  <si>
    <t>Sample 4</t>
  </si>
  <si>
    <t>Sample 5</t>
  </si>
  <si>
    <t>USL</t>
  </si>
  <si>
    <t>LSL</t>
  </si>
  <si>
    <t>Mean</t>
  </si>
  <si>
    <t xml:space="preserve">Front cover </t>
  </si>
  <si>
    <t>IFC895M1</t>
  </si>
  <si>
    <t>CNC99</t>
  </si>
  <si>
    <t>Seal Bore Diameter</t>
  </si>
  <si>
    <t>Rotor bore diameter</t>
  </si>
  <si>
    <t>Rotor bore depth</t>
  </si>
  <si>
    <t>Crank bore diameter</t>
  </si>
  <si>
    <t>New mazak</t>
  </si>
  <si>
    <t>Plungerbore diameter</t>
  </si>
  <si>
    <t xml:space="preserve">Sumpface height </t>
  </si>
  <si>
    <t>New J3</t>
  </si>
  <si>
    <t xml:space="preserve">Oil pump </t>
  </si>
  <si>
    <t>OP772M2</t>
  </si>
  <si>
    <t>CNC40</t>
  </si>
  <si>
    <t>CNC33</t>
  </si>
  <si>
    <t>CNC135</t>
  </si>
  <si>
    <t xml:space="preserve">                         </t>
  </si>
  <si>
    <t>OLD MAZAK</t>
  </si>
  <si>
    <t>Water pump</t>
  </si>
  <si>
    <t>WPP895</t>
  </si>
  <si>
    <t>CNC113</t>
  </si>
  <si>
    <t>Seal Bore diameter</t>
  </si>
  <si>
    <t>Bearing bore diameter</t>
  </si>
  <si>
    <t>WPP791</t>
  </si>
  <si>
    <t>ACE 12</t>
  </si>
  <si>
    <t>Spigot diameter</t>
  </si>
  <si>
    <t>ACE 1</t>
  </si>
  <si>
    <t>CNC131</t>
  </si>
  <si>
    <t>WPP772/WPP890</t>
  </si>
  <si>
    <t>CNC34</t>
  </si>
  <si>
    <t>LMW29</t>
  </si>
  <si>
    <t>WPP977</t>
  </si>
  <si>
    <t>CNC73</t>
  </si>
  <si>
    <t>WP 977</t>
  </si>
  <si>
    <t>CNC 73</t>
  </si>
  <si>
    <t>Dowel diameter</t>
  </si>
  <si>
    <t>CNC112</t>
  </si>
  <si>
    <t>WPP1026</t>
  </si>
  <si>
    <t>ACE10</t>
  </si>
  <si>
    <t>ACE6</t>
  </si>
  <si>
    <t>CNC115</t>
  </si>
  <si>
    <t>WP 1023</t>
  </si>
  <si>
    <t>NEW BFW</t>
  </si>
  <si>
    <t>WP887</t>
  </si>
  <si>
    <t>ACE 6</t>
  </si>
  <si>
    <t>WPP1030</t>
  </si>
  <si>
    <t>WPP899</t>
  </si>
  <si>
    <t>CNC66</t>
  </si>
  <si>
    <t>ACE2</t>
  </si>
  <si>
    <t>Oil pump</t>
  </si>
  <si>
    <t>OP 887</t>
  </si>
  <si>
    <t>Inner diameter</t>
  </si>
  <si>
    <t>Outer diameter</t>
  </si>
  <si>
    <t>22 mm depth</t>
  </si>
  <si>
    <t>26 mm depth</t>
  </si>
  <si>
    <t>OP1006</t>
  </si>
  <si>
    <t>CNC60</t>
  </si>
  <si>
    <t>Rotor depth gauge</t>
  </si>
  <si>
    <t>ACE5</t>
  </si>
  <si>
    <t>IFC 1023</t>
  </si>
  <si>
    <t>CNC22</t>
  </si>
  <si>
    <t>CNC80</t>
  </si>
  <si>
    <t>Inlet diameter</t>
  </si>
  <si>
    <t>Cover plate</t>
  </si>
  <si>
    <t>CP 965</t>
  </si>
  <si>
    <t>Tube diameter</t>
  </si>
  <si>
    <t>CP 989</t>
  </si>
  <si>
    <t>05.06.26</t>
  </si>
  <si>
    <t>04.06.26</t>
  </si>
  <si>
    <t>03.06.26</t>
  </si>
  <si>
    <t>06.06.26</t>
  </si>
  <si>
    <t>.36.488</t>
  </si>
  <si>
    <t>3.6.469</t>
  </si>
  <si>
    <t>09.06.26</t>
  </si>
  <si>
    <t>10.06.26</t>
  </si>
  <si>
    <t>11.06.26</t>
  </si>
  <si>
    <t>ACE 9</t>
  </si>
  <si>
    <t>12.06.26</t>
  </si>
  <si>
    <t>13.06.26</t>
  </si>
  <si>
    <t>17.06.26</t>
  </si>
  <si>
    <t>18.06.26</t>
  </si>
  <si>
    <t>19.06.26</t>
  </si>
  <si>
    <t>20.06.2026</t>
  </si>
  <si>
    <t>22.06.2026</t>
  </si>
  <si>
    <t>21.06.2026</t>
  </si>
  <si>
    <t>23.06.2026</t>
  </si>
  <si>
    <t>24.06.2026</t>
  </si>
  <si>
    <t>25.06.2026</t>
  </si>
  <si>
    <t>26.06.2026</t>
  </si>
  <si>
    <t>27.06.2026</t>
  </si>
  <si>
    <t>29.06.2026</t>
  </si>
  <si>
    <t>30.06.2026</t>
  </si>
  <si>
    <t>CPkU</t>
  </si>
  <si>
    <t>CPKl</t>
  </si>
  <si>
    <t>22.07.2026</t>
  </si>
  <si>
    <t>I</t>
  </si>
  <si>
    <t>II</t>
  </si>
  <si>
    <t>III</t>
  </si>
  <si>
    <t>X bar</t>
  </si>
  <si>
    <t>Range</t>
  </si>
</sst>
</file>

<file path=xl/styles.xml><?xml version="1.0" encoding="utf-8"?>
<styleSheet xmlns="http://schemas.openxmlformats.org/spreadsheetml/2006/main">
  <numFmts count="1">
    <numFmt numFmtId="164" formatCode="0.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164" fontId="2" fillId="0" borderId="2" xfId="0" applyNumberFormat="1" applyFont="1" applyBorder="1" applyAlignment="1">
      <alignment vertical="center"/>
    </xf>
    <xf numFmtId="2" fontId="1" fillId="0" borderId="2" xfId="0" applyNumberFormat="1" applyFont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/>
    </xf>
    <xf numFmtId="164" fontId="2" fillId="2" borderId="2" xfId="0" applyNumberFormat="1" applyFont="1" applyFill="1" applyBorder="1" applyAlignment="1">
      <alignment horizontal="center" vertical="center"/>
    </xf>
    <xf numFmtId="0" fontId="0" fillId="0" borderId="2" xfId="0" applyBorder="1"/>
    <xf numFmtId="0" fontId="2" fillId="0" borderId="5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164" fontId="2" fillId="0" borderId="9" xfId="0" applyNumberFormat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/>
    </xf>
    <xf numFmtId="0" fontId="2" fillId="0" borderId="6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14" fontId="2" fillId="0" borderId="2" xfId="0" applyNumberFormat="1" applyFont="1" applyBorder="1" applyAlignment="1">
      <alignment vertical="center"/>
    </xf>
    <xf numFmtId="14" fontId="2" fillId="0" borderId="3" xfId="0" applyNumberFormat="1" applyFont="1" applyBorder="1" applyAlignment="1">
      <alignment vertical="center"/>
    </xf>
    <xf numFmtId="14" fontId="2" fillId="0" borderId="4" xfId="0" applyNumberFormat="1" applyFont="1" applyBorder="1" applyAlignment="1">
      <alignment vertical="center"/>
    </xf>
    <xf numFmtId="14" fontId="2" fillId="0" borderId="5" xfId="0" applyNumberFormat="1" applyFont="1" applyBorder="1" applyAlignment="1">
      <alignment vertical="center"/>
    </xf>
    <xf numFmtId="0" fontId="2" fillId="0" borderId="7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2" fillId="2" borderId="1" xfId="0" applyFont="1" applyFill="1" applyBorder="1" applyAlignment="1">
      <alignment vertical="center"/>
    </xf>
    <xf numFmtId="14" fontId="2" fillId="0" borderId="3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/>
  </cellXfs>
  <cellStyles count="1">
    <cellStyle name="Normal" xfId="0" builtinId="0"/>
  </cellStyles>
  <dxfs count="12">
    <dxf>
      <font>
        <color rgb="FF00B050"/>
      </font>
    </dxf>
    <dxf>
      <font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00B05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73"/>
  <sheetViews>
    <sheetView view="pageBreakPreview" zoomScaleSheetLayoutView="100" workbookViewId="0">
      <selection activeCell="P13" sqref="P13"/>
    </sheetView>
  </sheetViews>
  <sheetFormatPr defaultRowHeight="15"/>
  <cols>
    <col min="1" max="1" width="12.7109375" customWidth="1"/>
    <col min="2" max="2" width="15" customWidth="1"/>
    <col min="3" max="3" width="12.42578125" customWidth="1"/>
    <col min="4" max="4" width="18" customWidth="1"/>
    <col min="8" max="17" width="14.7109375" customWidth="1"/>
    <col min="18" max="18" width="6.7109375" customWidth="1"/>
    <col min="19" max="20" width="9.140625" hidden="1" customWidth="1"/>
    <col min="21" max="21" width="9.140625" customWidth="1"/>
    <col min="22" max="23" width="9.140625" hidden="1" customWidth="1"/>
    <col min="24" max="24" width="9.140625" customWidth="1"/>
    <col min="257" max="257" width="12.7109375" customWidth="1"/>
    <col min="258" max="258" width="15" customWidth="1"/>
    <col min="259" max="259" width="12.42578125" customWidth="1"/>
    <col min="260" max="260" width="18" customWidth="1"/>
    <col min="264" max="273" width="14.7109375" customWidth="1"/>
    <col min="274" max="274" width="6.7109375" customWidth="1"/>
    <col min="275" max="276" width="0" hidden="1" customWidth="1"/>
    <col min="278" max="279" width="0" hidden="1" customWidth="1"/>
    <col min="513" max="513" width="12.7109375" customWidth="1"/>
    <col min="514" max="514" width="15" customWidth="1"/>
    <col min="515" max="515" width="12.42578125" customWidth="1"/>
    <col min="516" max="516" width="18" customWidth="1"/>
    <col min="520" max="529" width="14.7109375" customWidth="1"/>
    <col min="530" max="530" width="6.7109375" customWidth="1"/>
    <col min="531" max="532" width="0" hidden="1" customWidth="1"/>
    <col min="534" max="535" width="0" hidden="1" customWidth="1"/>
    <col min="769" max="769" width="12.7109375" customWidth="1"/>
    <col min="770" max="770" width="15" customWidth="1"/>
    <col min="771" max="771" width="12.42578125" customWidth="1"/>
    <col min="772" max="772" width="18" customWidth="1"/>
    <col min="776" max="785" width="14.7109375" customWidth="1"/>
    <col min="786" max="786" width="6.7109375" customWidth="1"/>
    <col min="787" max="788" width="0" hidden="1" customWidth="1"/>
    <col min="790" max="791" width="0" hidden="1" customWidth="1"/>
    <col min="1025" max="1025" width="12.7109375" customWidth="1"/>
    <col min="1026" max="1026" width="15" customWidth="1"/>
    <col min="1027" max="1027" width="12.42578125" customWidth="1"/>
    <col min="1028" max="1028" width="18" customWidth="1"/>
    <col min="1032" max="1041" width="14.7109375" customWidth="1"/>
    <col min="1042" max="1042" width="6.7109375" customWidth="1"/>
    <col min="1043" max="1044" width="0" hidden="1" customWidth="1"/>
    <col min="1046" max="1047" width="0" hidden="1" customWidth="1"/>
    <col min="1281" max="1281" width="12.7109375" customWidth="1"/>
    <col min="1282" max="1282" width="15" customWidth="1"/>
    <col min="1283" max="1283" width="12.42578125" customWidth="1"/>
    <col min="1284" max="1284" width="18" customWidth="1"/>
    <col min="1288" max="1297" width="14.7109375" customWidth="1"/>
    <col min="1298" max="1298" width="6.7109375" customWidth="1"/>
    <col min="1299" max="1300" width="0" hidden="1" customWidth="1"/>
    <col min="1302" max="1303" width="0" hidden="1" customWidth="1"/>
    <col min="1537" max="1537" width="12.7109375" customWidth="1"/>
    <col min="1538" max="1538" width="15" customWidth="1"/>
    <col min="1539" max="1539" width="12.42578125" customWidth="1"/>
    <col min="1540" max="1540" width="18" customWidth="1"/>
    <col min="1544" max="1553" width="14.7109375" customWidth="1"/>
    <col min="1554" max="1554" width="6.7109375" customWidth="1"/>
    <col min="1555" max="1556" width="0" hidden="1" customWidth="1"/>
    <col min="1558" max="1559" width="0" hidden="1" customWidth="1"/>
    <col min="1793" max="1793" width="12.7109375" customWidth="1"/>
    <col min="1794" max="1794" width="15" customWidth="1"/>
    <col min="1795" max="1795" width="12.42578125" customWidth="1"/>
    <col min="1796" max="1796" width="18" customWidth="1"/>
    <col min="1800" max="1809" width="14.7109375" customWidth="1"/>
    <col min="1810" max="1810" width="6.7109375" customWidth="1"/>
    <col min="1811" max="1812" width="0" hidden="1" customWidth="1"/>
    <col min="1814" max="1815" width="0" hidden="1" customWidth="1"/>
    <col min="2049" max="2049" width="12.7109375" customWidth="1"/>
    <col min="2050" max="2050" width="15" customWidth="1"/>
    <col min="2051" max="2051" width="12.42578125" customWidth="1"/>
    <col min="2052" max="2052" width="18" customWidth="1"/>
    <col min="2056" max="2065" width="14.7109375" customWidth="1"/>
    <col min="2066" max="2066" width="6.7109375" customWidth="1"/>
    <col min="2067" max="2068" width="0" hidden="1" customWidth="1"/>
    <col min="2070" max="2071" width="0" hidden="1" customWidth="1"/>
    <col min="2305" max="2305" width="12.7109375" customWidth="1"/>
    <col min="2306" max="2306" width="15" customWidth="1"/>
    <col min="2307" max="2307" width="12.42578125" customWidth="1"/>
    <col min="2308" max="2308" width="18" customWidth="1"/>
    <col min="2312" max="2321" width="14.7109375" customWidth="1"/>
    <col min="2322" max="2322" width="6.7109375" customWidth="1"/>
    <col min="2323" max="2324" width="0" hidden="1" customWidth="1"/>
    <col min="2326" max="2327" width="0" hidden="1" customWidth="1"/>
    <col min="2561" max="2561" width="12.7109375" customWidth="1"/>
    <col min="2562" max="2562" width="15" customWidth="1"/>
    <col min="2563" max="2563" width="12.42578125" customWidth="1"/>
    <col min="2564" max="2564" width="18" customWidth="1"/>
    <col min="2568" max="2577" width="14.7109375" customWidth="1"/>
    <col min="2578" max="2578" width="6.7109375" customWidth="1"/>
    <col min="2579" max="2580" width="0" hidden="1" customWidth="1"/>
    <col min="2582" max="2583" width="0" hidden="1" customWidth="1"/>
    <col min="2817" max="2817" width="12.7109375" customWidth="1"/>
    <col min="2818" max="2818" width="15" customWidth="1"/>
    <col min="2819" max="2819" width="12.42578125" customWidth="1"/>
    <col min="2820" max="2820" width="18" customWidth="1"/>
    <col min="2824" max="2833" width="14.7109375" customWidth="1"/>
    <col min="2834" max="2834" width="6.7109375" customWidth="1"/>
    <col min="2835" max="2836" width="0" hidden="1" customWidth="1"/>
    <col min="2838" max="2839" width="0" hidden="1" customWidth="1"/>
    <col min="3073" max="3073" width="12.7109375" customWidth="1"/>
    <col min="3074" max="3074" width="15" customWidth="1"/>
    <col min="3075" max="3075" width="12.42578125" customWidth="1"/>
    <col min="3076" max="3076" width="18" customWidth="1"/>
    <col min="3080" max="3089" width="14.7109375" customWidth="1"/>
    <col min="3090" max="3090" width="6.7109375" customWidth="1"/>
    <col min="3091" max="3092" width="0" hidden="1" customWidth="1"/>
    <col min="3094" max="3095" width="0" hidden="1" customWidth="1"/>
    <col min="3329" max="3329" width="12.7109375" customWidth="1"/>
    <col min="3330" max="3330" width="15" customWidth="1"/>
    <col min="3331" max="3331" width="12.42578125" customWidth="1"/>
    <col min="3332" max="3332" width="18" customWidth="1"/>
    <col min="3336" max="3345" width="14.7109375" customWidth="1"/>
    <col min="3346" max="3346" width="6.7109375" customWidth="1"/>
    <col min="3347" max="3348" width="0" hidden="1" customWidth="1"/>
    <col min="3350" max="3351" width="0" hidden="1" customWidth="1"/>
    <col min="3585" max="3585" width="12.7109375" customWidth="1"/>
    <col min="3586" max="3586" width="15" customWidth="1"/>
    <col min="3587" max="3587" width="12.42578125" customWidth="1"/>
    <col min="3588" max="3588" width="18" customWidth="1"/>
    <col min="3592" max="3601" width="14.7109375" customWidth="1"/>
    <col min="3602" max="3602" width="6.7109375" customWidth="1"/>
    <col min="3603" max="3604" width="0" hidden="1" customWidth="1"/>
    <col min="3606" max="3607" width="0" hidden="1" customWidth="1"/>
    <col min="3841" max="3841" width="12.7109375" customWidth="1"/>
    <col min="3842" max="3842" width="15" customWidth="1"/>
    <col min="3843" max="3843" width="12.42578125" customWidth="1"/>
    <col min="3844" max="3844" width="18" customWidth="1"/>
    <col min="3848" max="3857" width="14.7109375" customWidth="1"/>
    <col min="3858" max="3858" width="6.7109375" customWidth="1"/>
    <col min="3859" max="3860" width="0" hidden="1" customWidth="1"/>
    <col min="3862" max="3863" width="0" hidden="1" customWidth="1"/>
    <col min="4097" max="4097" width="12.7109375" customWidth="1"/>
    <col min="4098" max="4098" width="15" customWidth="1"/>
    <col min="4099" max="4099" width="12.42578125" customWidth="1"/>
    <col min="4100" max="4100" width="18" customWidth="1"/>
    <col min="4104" max="4113" width="14.7109375" customWidth="1"/>
    <col min="4114" max="4114" width="6.7109375" customWidth="1"/>
    <col min="4115" max="4116" width="0" hidden="1" customWidth="1"/>
    <col min="4118" max="4119" width="0" hidden="1" customWidth="1"/>
    <col min="4353" max="4353" width="12.7109375" customWidth="1"/>
    <col min="4354" max="4354" width="15" customWidth="1"/>
    <col min="4355" max="4355" width="12.42578125" customWidth="1"/>
    <col min="4356" max="4356" width="18" customWidth="1"/>
    <col min="4360" max="4369" width="14.7109375" customWidth="1"/>
    <col min="4370" max="4370" width="6.7109375" customWidth="1"/>
    <col min="4371" max="4372" width="0" hidden="1" customWidth="1"/>
    <col min="4374" max="4375" width="0" hidden="1" customWidth="1"/>
    <col min="4609" max="4609" width="12.7109375" customWidth="1"/>
    <col min="4610" max="4610" width="15" customWidth="1"/>
    <col min="4611" max="4611" width="12.42578125" customWidth="1"/>
    <col min="4612" max="4612" width="18" customWidth="1"/>
    <col min="4616" max="4625" width="14.7109375" customWidth="1"/>
    <col min="4626" max="4626" width="6.7109375" customWidth="1"/>
    <col min="4627" max="4628" width="0" hidden="1" customWidth="1"/>
    <col min="4630" max="4631" width="0" hidden="1" customWidth="1"/>
    <col min="4865" max="4865" width="12.7109375" customWidth="1"/>
    <col min="4866" max="4866" width="15" customWidth="1"/>
    <col min="4867" max="4867" width="12.42578125" customWidth="1"/>
    <col min="4868" max="4868" width="18" customWidth="1"/>
    <col min="4872" max="4881" width="14.7109375" customWidth="1"/>
    <col min="4882" max="4882" width="6.7109375" customWidth="1"/>
    <col min="4883" max="4884" width="0" hidden="1" customWidth="1"/>
    <col min="4886" max="4887" width="0" hidden="1" customWidth="1"/>
    <col min="5121" max="5121" width="12.7109375" customWidth="1"/>
    <col min="5122" max="5122" width="15" customWidth="1"/>
    <col min="5123" max="5123" width="12.42578125" customWidth="1"/>
    <col min="5124" max="5124" width="18" customWidth="1"/>
    <col min="5128" max="5137" width="14.7109375" customWidth="1"/>
    <col min="5138" max="5138" width="6.7109375" customWidth="1"/>
    <col min="5139" max="5140" width="0" hidden="1" customWidth="1"/>
    <col min="5142" max="5143" width="0" hidden="1" customWidth="1"/>
    <col min="5377" max="5377" width="12.7109375" customWidth="1"/>
    <col min="5378" max="5378" width="15" customWidth="1"/>
    <col min="5379" max="5379" width="12.42578125" customWidth="1"/>
    <col min="5380" max="5380" width="18" customWidth="1"/>
    <col min="5384" max="5393" width="14.7109375" customWidth="1"/>
    <col min="5394" max="5394" width="6.7109375" customWidth="1"/>
    <col min="5395" max="5396" width="0" hidden="1" customWidth="1"/>
    <col min="5398" max="5399" width="0" hidden="1" customWidth="1"/>
    <col min="5633" max="5633" width="12.7109375" customWidth="1"/>
    <col min="5634" max="5634" width="15" customWidth="1"/>
    <col min="5635" max="5635" width="12.42578125" customWidth="1"/>
    <col min="5636" max="5636" width="18" customWidth="1"/>
    <col min="5640" max="5649" width="14.7109375" customWidth="1"/>
    <col min="5650" max="5650" width="6.7109375" customWidth="1"/>
    <col min="5651" max="5652" width="0" hidden="1" customWidth="1"/>
    <col min="5654" max="5655" width="0" hidden="1" customWidth="1"/>
    <col min="5889" max="5889" width="12.7109375" customWidth="1"/>
    <col min="5890" max="5890" width="15" customWidth="1"/>
    <col min="5891" max="5891" width="12.42578125" customWidth="1"/>
    <col min="5892" max="5892" width="18" customWidth="1"/>
    <col min="5896" max="5905" width="14.7109375" customWidth="1"/>
    <col min="5906" max="5906" width="6.7109375" customWidth="1"/>
    <col min="5907" max="5908" width="0" hidden="1" customWidth="1"/>
    <col min="5910" max="5911" width="0" hidden="1" customWidth="1"/>
    <col min="6145" max="6145" width="12.7109375" customWidth="1"/>
    <col min="6146" max="6146" width="15" customWidth="1"/>
    <col min="6147" max="6147" width="12.42578125" customWidth="1"/>
    <col min="6148" max="6148" width="18" customWidth="1"/>
    <col min="6152" max="6161" width="14.7109375" customWidth="1"/>
    <col min="6162" max="6162" width="6.7109375" customWidth="1"/>
    <col min="6163" max="6164" width="0" hidden="1" customWidth="1"/>
    <col min="6166" max="6167" width="0" hidden="1" customWidth="1"/>
    <col min="6401" max="6401" width="12.7109375" customWidth="1"/>
    <col min="6402" max="6402" width="15" customWidth="1"/>
    <col min="6403" max="6403" width="12.42578125" customWidth="1"/>
    <col min="6404" max="6404" width="18" customWidth="1"/>
    <col min="6408" max="6417" width="14.7109375" customWidth="1"/>
    <col min="6418" max="6418" width="6.7109375" customWidth="1"/>
    <col min="6419" max="6420" width="0" hidden="1" customWidth="1"/>
    <col min="6422" max="6423" width="0" hidden="1" customWidth="1"/>
    <col min="6657" max="6657" width="12.7109375" customWidth="1"/>
    <col min="6658" max="6658" width="15" customWidth="1"/>
    <col min="6659" max="6659" width="12.42578125" customWidth="1"/>
    <col min="6660" max="6660" width="18" customWidth="1"/>
    <col min="6664" max="6673" width="14.7109375" customWidth="1"/>
    <col min="6674" max="6674" width="6.7109375" customWidth="1"/>
    <col min="6675" max="6676" width="0" hidden="1" customWidth="1"/>
    <col min="6678" max="6679" width="0" hidden="1" customWidth="1"/>
    <col min="6913" max="6913" width="12.7109375" customWidth="1"/>
    <col min="6914" max="6914" width="15" customWidth="1"/>
    <col min="6915" max="6915" width="12.42578125" customWidth="1"/>
    <col min="6916" max="6916" width="18" customWidth="1"/>
    <col min="6920" max="6929" width="14.7109375" customWidth="1"/>
    <col min="6930" max="6930" width="6.7109375" customWidth="1"/>
    <col min="6931" max="6932" width="0" hidden="1" customWidth="1"/>
    <col min="6934" max="6935" width="0" hidden="1" customWidth="1"/>
    <col min="7169" max="7169" width="12.7109375" customWidth="1"/>
    <col min="7170" max="7170" width="15" customWidth="1"/>
    <col min="7171" max="7171" width="12.42578125" customWidth="1"/>
    <col min="7172" max="7172" width="18" customWidth="1"/>
    <col min="7176" max="7185" width="14.7109375" customWidth="1"/>
    <col min="7186" max="7186" width="6.7109375" customWidth="1"/>
    <col min="7187" max="7188" width="0" hidden="1" customWidth="1"/>
    <col min="7190" max="7191" width="0" hidden="1" customWidth="1"/>
    <col min="7425" max="7425" width="12.7109375" customWidth="1"/>
    <col min="7426" max="7426" width="15" customWidth="1"/>
    <col min="7427" max="7427" width="12.42578125" customWidth="1"/>
    <col min="7428" max="7428" width="18" customWidth="1"/>
    <col min="7432" max="7441" width="14.7109375" customWidth="1"/>
    <col min="7442" max="7442" width="6.7109375" customWidth="1"/>
    <col min="7443" max="7444" width="0" hidden="1" customWidth="1"/>
    <col min="7446" max="7447" width="0" hidden="1" customWidth="1"/>
    <col min="7681" max="7681" width="12.7109375" customWidth="1"/>
    <col min="7682" max="7682" width="15" customWidth="1"/>
    <col min="7683" max="7683" width="12.42578125" customWidth="1"/>
    <col min="7684" max="7684" width="18" customWidth="1"/>
    <col min="7688" max="7697" width="14.7109375" customWidth="1"/>
    <col min="7698" max="7698" width="6.7109375" customWidth="1"/>
    <col min="7699" max="7700" width="0" hidden="1" customWidth="1"/>
    <col min="7702" max="7703" width="0" hidden="1" customWidth="1"/>
    <col min="7937" max="7937" width="12.7109375" customWidth="1"/>
    <col min="7938" max="7938" width="15" customWidth="1"/>
    <col min="7939" max="7939" width="12.42578125" customWidth="1"/>
    <col min="7940" max="7940" width="18" customWidth="1"/>
    <col min="7944" max="7953" width="14.7109375" customWidth="1"/>
    <col min="7954" max="7954" width="6.7109375" customWidth="1"/>
    <col min="7955" max="7956" width="0" hidden="1" customWidth="1"/>
    <col min="7958" max="7959" width="0" hidden="1" customWidth="1"/>
    <col min="8193" max="8193" width="12.7109375" customWidth="1"/>
    <col min="8194" max="8194" width="15" customWidth="1"/>
    <col min="8195" max="8195" width="12.42578125" customWidth="1"/>
    <col min="8196" max="8196" width="18" customWidth="1"/>
    <col min="8200" max="8209" width="14.7109375" customWidth="1"/>
    <col min="8210" max="8210" width="6.7109375" customWidth="1"/>
    <col min="8211" max="8212" width="0" hidden="1" customWidth="1"/>
    <col min="8214" max="8215" width="0" hidden="1" customWidth="1"/>
    <col min="8449" max="8449" width="12.7109375" customWidth="1"/>
    <col min="8450" max="8450" width="15" customWidth="1"/>
    <col min="8451" max="8451" width="12.42578125" customWidth="1"/>
    <col min="8452" max="8452" width="18" customWidth="1"/>
    <col min="8456" max="8465" width="14.7109375" customWidth="1"/>
    <col min="8466" max="8466" width="6.7109375" customWidth="1"/>
    <col min="8467" max="8468" width="0" hidden="1" customWidth="1"/>
    <col min="8470" max="8471" width="0" hidden="1" customWidth="1"/>
    <col min="8705" max="8705" width="12.7109375" customWidth="1"/>
    <col min="8706" max="8706" width="15" customWidth="1"/>
    <col min="8707" max="8707" width="12.42578125" customWidth="1"/>
    <col min="8708" max="8708" width="18" customWidth="1"/>
    <col min="8712" max="8721" width="14.7109375" customWidth="1"/>
    <col min="8722" max="8722" width="6.7109375" customWidth="1"/>
    <col min="8723" max="8724" width="0" hidden="1" customWidth="1"/>
    <col min="8726" max="8727" width="0" hidden="1" customWidth="1"/>
    <col min="8961" max="8961" width="12.7109375" customWidth="1"/>
    <col min="8962" max="8962" width="15" customWidth="1"/>
    <col min="8963" max="8963" width="12.42578125" customWidth="1"/>
    <col min="8964" max="8964" width="18" customWidth="1"/>
    <col min="8968" max="8977" width="14.7109375" customWidth="1"/>
    <col min="8978" max="8978" width="6.7109375" customWidth="1"/>
    <col min="8979" max="8980" width="0" hidden="1" customWidth="1"/>
    <col min="8982" max="8983" width="0" hidden="1" customWidth="1"/>
    <col min="9217" max="9217" width="12.7109375" customWidth="1"/>
    <col min="9218" max="9218" width="15" customWidth="1"/>
    <col min="9219" max="9219" width="12.42578125" customWidth="1"/>
    <col min="9220" max="9220" width="18" customWidth="1"/>
    <col min="9224" max="9233" width="14.7109375" customWidth="1"/>
    <col min="9234" max="9234" width="6.7109375" customWidth="1"/>
    <col min="9235" max="9236" width="0" hidden="1" customWidth="1"/>
    <col min="9238" max="9239" width="0" hidden="1" customWidth="1"/>
    <col min="9473" max="9473" width="12.7109375" customWidth="1"/>
    <col min="9474" max="9474" width="15" customWidth="1"/>
    <col min="9475" max="9475" width="12.42578125" customWidth="1"/>
    <col min="9476" max="9476" width="18" customWidth="1"/>
    <col min="9480" max="9489" width="14.7109375" customWidth="1"/>
    <col min="9490" max="9490" width="6.7109375" customWidth="1"/>
    <col min="9491" max="9492" width="0" hidden="1" customWidth="1"/>
    <col min="9494" max="9495" width="0" hidden="1" customWidth="1"/>
    <col min="9729" max="9729" width="12.7109375" customWidth="1"/>
    <col min="9730" max="9730" width="15" customWidth="1"/>
    <col min="9731" max="9731" width="12.42578125" customWidth="1"/>
    <col min="9732" max="9732" width="18" customWidth="1"/>
    <col min="9736" max="9745" width="14.7109375" customWidth="1"/>
    <col min="9746" max="9746" width="6.7109375" customWidth="1"/>
    <col min="9747" max="9748" width="0" hidden="1" customWidth="1"/>
    <col min="9750" max="9751" width="0" hidden="1" customWidth="1"/>
    <col min="9985" max="9985" width="12.7109375" customWidth="1"/>
    <col min="9986" max="9986" width="15" customWidth="1"/>
    <col min="9987" max="9987" width="12.42578125" customWidth="1"/>
    <col min="9988" max="9988" width="18" customWidth="1"/>
    <col min="9992" max="10001" width="14.7109375" customWidth="1"/>
    <col min="10002" max="10002" width="6.7109375" customWidth="1"/>
    <col min="10003" max="10004" width="0" hidden="1" customWidth="1"/>
    <col min="10006" max="10007" width="0" hidden="1" customWidth="1"/>
    <col min="10241" max="10241" width="12.7109375" customWidth="1"/>
    <col min="10242" max="10242" width="15" customWidth="1"/>
    <col min="10243" max="10243" width="12.42578125" customWidth="1"/>
    <col min="10244" max="10244" width="18" customWidth="1"/>
    <col min="10248" max="10257" width="14.7109375" customWidth="1"/>
    <col min="10258" max="10258" width="6.7109375" customWidth="1"/>
    <col min="10259" max="10260" width="0" hidden="1" customWidth="1"/>
    <col min="10262" max="10263" width="0" hidden="1" customWidth="1"/>
    <col min="10497" max="10497" width="12.7109375" customWidth="1"/>
    <col min="10498" max="10498" width="15" customWidth="1"/>
    <col min="10499" max="10499" width="12.42578125" customWidth="1"/>
    <col min="10500" max="10500" width="18" customWidth="1"/>
    <col min="10504" max="10513" width="14.7109375" customWidth="1"/>
    <col min="10514" max="10514" width="6.7109375" customWidth="1"/>
    <col min="10515" max="10516" width="0" hidden="1" customWidth="1"/>
    <col min="10518" max="10519" width="0" hidden="1" customWidth="1"/>
    <col min="10753" max="10753" width="12.7109375" customWidth="1"/>
    <col min="10754" max="10754" width="15" customWidth="1"/>
    <col min="10755" max="10755" width="12.42578125" customWidth="1"/>
    <col min="10756" max="10756" width="18" customWidth="1"/>
    <col min="10760" max="10769" width="14.7109375" customWidth="1"/>
    <col min="10770" max="10770" width="6.7109375" customWidth="1"/>
    <col min="10771" max="10772" width="0" hidden="1" customWidth="1"/>
    <col min="10774" max="10775" width="0" hidden="1" customWidth="1"/>
    <col min="11009" max="11009" width="12.7109375" customWidth="1"/>
    <col min="11010" max="11010" width="15" customWidth="1"/>
    <col min="11011" max="11011" width="12.42578125" customWidth="1"/>
    <col min="11012" max="11012" width="18" customWidth="1"/>
    <col min="11016" max="11025" width="14.7109375" customWidth="1"/>
    <col min="11026" max="11026" width="6.7109375" customWidth="1"/>
    <col min="11027" max="11028" width="0" hidden="1" customWidth="1"/>
    <col min="11030" max="11031" width="0" hidden="1" customWidth="1"/>
    <col min="11265" max="11265" width="12.7109375" customWidth="1"/>
    <col min="11266" max="11266" width="15" customWidth="1"/>
    <col min="11267" max="11267" width="12.42578125" customWidth="1"/>
    <col min="11268" max="11268" width="18" customWidth="1"/>
    <col min="11272" max="11281" width="14.7109375" customWidth="1"/>
    <col min="11282" max="11282" width="6.7109375" customWidth="1"/>
    <col min="11283" max="11284" width="0" hidden="1" customWidth="1"/>
    <col min="11286" max="11287" width="0" hidden="1" customWidth="1"/>
    <col min="11521" max="11521" width="12.7109375" customWidth="1"/>
    <col min="11522" max="11522" width="15" customWidth="1"/>
    <col min="11523" max="11523" width="12.42578125" customWidth="1"/>
    <col min="11524" max="11524" width="18" customWidth="1"/>
    <col min="11528" max="11537" width="14.7109375" customWidth="1"/>
    <col min="11538" max="11538" width="6.7109375" customWidth="1"/>
    <col min="11539" max="11540" width="0" hidden="1" customWidth="1"/>
    <col min="11542" max="11543" width="0" hidden="1" customWidth="1"/>
    <col min="11777" max="11777" width="12.7109375" customWidth="1"/>
    <col min="11778" max="11778" width="15" customWidth="1"/>
    <col min="11779" max="11779" width="12.42578125" customWidth="1"/>
    <col min="11780" max="11780" width="18" customWidth="1"/>
    <col min="11784" max="11793" width="14.7109375" customWidth="1"/>
    <col min="11794" max="11794" width="6.7109375" customWidth="1"/>
    <col min="11795" max="11796" width="0" hidden="1" customWidth="1"/>
    <col min="11798" max="11799" width="0" hidden="1" customWidth="1"/>
    <col min="12033" max="12033" width="12.7109375" customWidth="1"/>
    <col min="12034" max="12034" width="15" customWidth="1"/>
    <col min="12035" max="12035" width="12.42578125" customWidth="1"/>
    <col min="12036" max="12036" width="18" customWidth="1"/>
    <col min="12040" max="12049" width="14.7109375" customWidth="1"/>
    <col min="12050" max="12050" width="6.7109375" customWidth="1"/>
    <col min="12051" max="12052" width="0" hidden="1" customWidth="1"/>
    <col min="12054" max="12055" width="0" hidden="1" customWidth="1"/>
    <col min="12289" max="12289" width="12.7109375" customWidth="1"/>
    <col min="12290" max="12290" width="15" customWidth="1"/>
    <col min="12291" max="12291" width="12.42578125" customWidth="1"/>
    <col min="12292" max="12292" width="18" customWidth="1"/>
    <col min="12296" max="12305" width="14.7109375" customWidth="1"/>
    <col min="12306" max="12306" width="6.7109375" customWidth="1"/>
    <col min="12307" max="12308" width="0" hidden="1" customWidth="1"/>
    <col min="12310" max="12311" width="0" hidden="1" customWidth="1"/>
    <col min="12545" max="12545" width="12.7109375" customWidth="1"/>
    <col min="12546" max="12546" width="15" customWidth="1"/>
    <col min="12547" max="12547" width="12.42578125" customWidth="1"/>
    <col min="12548" max="12548" width="18" customWidth="1"/>
    <col min="12552" max="12561" width="14.7109375" customWidth="1"/>
    <col min="12562" max="12562" width="6.7109375" customWidth="1"/>
    <col min="12563" max="12564" width="0" hidden="1" customWidth="1"/>
    <col min="12566" max="12567" width="0" hidden="1" customWidth="1"/>
    <col min="12801" max="12801" width="12.7109375" customWidth="1"/>
    <col min="12802" max="12802" width="15" customWidth="1"/>
    <col min="12803" max="12803" width="12.42578125" customWidth="1"/>
    <col min="12804" max="12804" width="18" customWidth="1"/>
    <col min="12808" max="12817" width="14.7109375" customWidth="1"/>
    <col min="12818" max="12818" width="6.7109375" customWidth="1"/>
    <col min="12819" max="12820" width="0" hidden="1" customWidth="1"/>
    <col min="12822" max="12823" width="0" hidden="1" customWidth="1"/>
    <col min="13057" max="13057" width="12.7109375" customWidth="1"/>
    <col min="13058" max="13058" width="15" customWidth="1"/>
    <col min="13059" max="13059" width="12.42578125" customWidth="1"/>
    <col min="13060" max="13060" width="18" customWidth="1"/>
    <col min="13064" max="13073" width="14.7109375" customWidth="1"/>
    <col min="13074" max="13074" width="6.7109375" customWidth="1"/>
    <col min="13075" max="13076" width="0" hidden="1" customWidth="1"/>
    <col min="13078" max="13079" width="0" hidden="1" customWidth="1"/>
    <col min="13313" max="13313" width="12.7109375" customWidth="1"/>
    <col min="13314" max="13314" width="15" customWidth="1"/>
    <col min="13315" max="13315" width="12.42578125" customWidth="1"/>
    <col min="13316" max="13316" width="18" customWidth="1"/>
    <col min="13320" max="13329" width="14.7109375" customWidth="1"/>
    <col min="13330" max="13330" width="6.7109375" customWidth="1"/>
    <col min="13331" max="13332" width="0" hidden="1" customWidth="1"/>
    <col min="13334" max="13335" width="0" hidden="1" customWidth="1"/>
    <col min="13569" max="13569" width="12.7109375" customWidth="1"/>
    <col min="13570" max="13570" width="15" customWidth="1"/>
    <col min="13571" max="13571" width="12.42578125" customWidth="1"/>
    <col min="13572" max="13572" width="18" customWidth="1"/>
    <col min="13576" max="13585" width="14.7109375" customWidth="1"/>
    <col min="13586" max="13586" width="6.7109375" customWidth="1"/>
    <col min="13587" max="13588" width="0" hidden="1" customWidth="1"/>
    <col min="13590" max="13591" width="0" hidden="1" customWidth="1"/>
    <col min="13825" max="13825" width="12.7109375" customWidth="1"/>
    <col min="13826" max="13826" width="15" customWidth="1"/>
    <col min="13827" max="13827" width="12.42578125" customWidth="1"/>
    <col min="13828" max="13828" width="18" customWidth="1"/>
    <col min="13832" max="13841" width="14.7109375" customWidth="1"/>
    <col min="13842" max="13842" width="6.7109375" customWidth="1"/>
    <col min="13843" max="13844" width="0" hidden="1" customWidth="1"/>
    <col min="13846" max="13847" width="0" hidden="1" customWidth="1"/>
    <col min="14081" max="14081" width="12.7109375" customWidth="1"/>
    <col min="14082" max="14082" width="15" customWidth="1"/>
    <col min="14083" max="14083" width="12.42578125" customWidth="1"/>
    <col min="14084" max="14084" width="18" customWidth="1"/>
    <col min="14088" max="14097" width="14.7109375" customWidth="1"/>
    <col min="14098" max="14098" width="6.7109375" customWidth="1"/>
    <col min="14099" max="14100" width="0" hidden="1" customWidth="1"/>
    <col min="14102" max="14103" width="0" hidden="1" customWidth="1"/>
    <col min="14337" max="14337" width="12.7109375" customWidth="1"/>
    <col min="14338" max="14338" width="15" customWidth="1"/>
    <col min="14339" max="14339" width="12.42578125" customWidth="1"/>
    <col min="14340" max="14340" width="18" customWidth="1"/>
    <col min="14344" max="14353" width="14.7109375" customWidth="1"/>
    <col min="14354" max="14354" width="6.7109375" customWidth="1"/>
    <col min="14355" max="14356" width="0" hidden="1" customWidth="1"/>
    <col min="14358" max="14359" width="0" hidden="1" customWidth="1"/>
    <col min="14593" max="14593" width="12.7109375" customWidth="1"/>
    <col min="14594" max="14594" width="15" customWidth="1"/>
    <col min="14595" max="14595" width="12.42578125" customWidth="1"/>
    <col min="14596" max="14596" width="18" customWidth="1"/>
    <col min="14600" max="14609" width="14.7109375" customWidth="1"/>
    <col min="14610" max="14610" width="6.7109375" customWidth="1"/>
    <col min="14611" max="14612" width="0" hidden="1" customWidth="1"/>
    <col min="14614" max="14615" width="0" hidden="1" customWidth="1"/>
    <col min="14849" max="14849" width="12.7109375" customWidth="1"/>
    <col min="14850" max="14850" width="15" customWidth="1"/>
    <col min="14851" max="14851" width="12.42578125" customWidth="1"/>
    <col min="14852" max="14852" width="18" customWidth="1"/>
    <col min="14856" max="14865" width="14.7109375" customWidth="1"/>
    <col min="14866" max="14866" width="6.7109375" customWidth="1"/>
    <col min="14867" max="14868" width="0" hidden="1" customWidth="1"/>
    <col min="14870" max="14871" width="0" hidden="1" customWidth="1"/>
    <col min="15105" max="15105" width="12.7109375" customWidth="1"/>
    <col min="15106" max="15106" width="15" customWidth="1"/>
    <col min="15107" max="15107" width="12.42578125" customWidth="1"/>
    <col min="15108" max="15108" width="18" customWidth="1"/>
    <col min="15112" max="15121" width="14.7109375" customWidth="1"/>
    <col min="15122" max="15122" width="6.7109375" customWidth="1"/>
    <col min="15123" max="15124" width="0" hidden="1" customWidth="1"/>
    <col min="15126" max="15127" width="0" hidden="1" customWidth="1"/>
    <col min="15361" max="15361" width="12.7109375" customWidth="1"/>
    <col min="15362" max="15362" width="15" customWidth="1"/>
    <col min="15363" max="15363" width="12.42578125" customWidth="1"/>
    <col min="15364" max="15364" width="18" customWidth="1"/>
    <col min="15368" max="15377" width="14.7109375" customWidth="1"/>
    <col min="15378" max="15378" width="6.7109375" customWidth="1"/>
    <col min="15379" max="15380" width="0" hidden="1" customWidth="1"/>
    <col min="15382" max="15383" width="0" hidden="1" customWidth="1"/>
    <col min="15617" max="15617" width="12.7109375" customWidth="1"/>
    <col min="15618" max="15618" width="15" customWidth="1"/>
    <col min="15619" max="15619" width="12.42578125" customWidth="1"/>
    <col min="15620" max="15620" width="18" customWidth="1"/>
    <col min="15624" max="15633" width="14.7109375" customWidth="1"/>
    <col min="15634" max="15634" width="6.7109375" customWidth="1"/>
    <col min="15635" max="15636" width="0" hidden="1" customWidth="1"/>
    <col min="15638" max="15639" width="0" hidden="1" customWidth="1"/>
    <col min="15873" max="15873" width="12.7109375" customWidth="1"/>
    <col min="15874" max="15874" width="15" customWidth="1"/>
    <col min="15875" max="15875" width="12.42578125" customWidth="1"/>
    <col min="15876" max="15876" width="18" customWidth="1"/>
    <col min="15880" max="15889" width="14.7109375" customWidth="1"/>
    <col min="15890" max="15890" width="6.7109375" customWidth="1"/>
    <col min="15891" max="15892" width="0" hidden="1" customWidth="1"/>
    <col min="15894" max="15895" width="0" hidden="1" customWidth="1"/>
    <col min="16129" max="16129" width="12.7109375" customWidth="1"/>
    <col min="16130" max="16130" width="15" customWidth="1"/>
    <col min="16131" max="16131" width="12.42578125" customWidth="1"/>
    <col min="16132" max="16132" width="18" customWidth="1"/>
    <col min="16136" max="16145" width="14.7109375" customWidth="1"/>
    <col min="16146" max="16146" width="6.7109375" customWidth="1"/>
    <col min="16147" max="16148" width="0" hidden="1" customWidth="1"/>
    <col min="16150" max="16151" width="0" hidden="1" customWidth="1"/>
  </cols>
  <sheetData>
    <row r="1" spans="1:24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1"/>
      <c r="S1" s="1"/>
      <c r="T1" s="1"/>
      <c r="U1" s="1"/>
      <c r="V1" s="1"/>
      <c r="W1" s="1"/>
      <c r="X1" s="1"/>
    </row>
    <row r="2" spans="1:24">
      <c r="A2" s="1" t="s">
        <v>1</v>
      </c>
      <c r="B2" s="1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>
      <c r="A3" s="1" t="s">
        <v>3</v>
      </c>
      <c r="B3" s="1" t="s">
        <v>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>
      <c r="A4" s="1" t="s">
        <v>5</v>
      </c>
      <c r="B4" s="1" t="s">
        <v>6</v>
      </c>
      <c r="C4" s="1" t="s">
        <v>7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36"/>
      <c r="V4" s="36"/>
      <c r="W4" s="36"/>
      <c r="X4" s="36"/>
    </row>
    <row r="5" spans="1:24">
      <c r="A5" s="1"/>
      <c r="B5" s="1"/>
      <c r="C5" s="1"/>
      <c r="D5" s="1"/>
      <c r="E5" s="1"/>
      <c r="F5" s="1"/>
      <c r="G5" s="2" t="s">
        <v>8</v>
      </c>
      <c r="H5" s="30"/>
      <c r="I5" s="30"/>
      <c r="J5" s="30"/>
      <c r="K5" s="30"/>
      <c r="L5" s="30"/>
      <c r="M5" s="31"/>
      <c r="N5" s="32"/>
      <c r="O5" s="32"/>
      <c r="P5" s="32"/>
      <c r="Q5" s="33"/>
      <c r="R5" s="28" t="s">
        <v>9</v>
      </c>
      <c r="S5" s="28" t="s">
        <v>10</v>
      </c>
      <c r="T5" s="27" t="s">
        <v>11</v>
      </c>
      <c r="U5" s="23" t="s">
        <v>12</v>
      </c>
      <c r="V5" s="23" t="s">
        <v>13</v>
      </c>
      <c r="W5" s="23" t="s">
        <v>14</v>
      </c>
      <c r="X5" s="23" t="s">
        <v>15</v>
      </c>
    </row>
    <row r="6" spans="1:24">
      <c r="A6" s="1"/>
      <c r="B6" s="1"/>
      <c r="C6" s="1"/>
      <c r="D6" s="1"/>
      <c r="E6" s="1"/>
      <c r="F6" s="1"/>
      <c r="G6" s="3" t="s">
        <v>16</v>
      </c>
      <c r="H6" s="23">
        <v>1</v>
      </c>
      <c r="I6" s="23"/>
      <c r="J6" s="23"/>
      <c r="K6" s="23"/>
      <c r="L6" s="23"/>
      <c r="M6" s="23">
        <v>2</v>
      </c>
      <c r="N6" s="23"/>
      <c r="O6" s="23"/>
      <c r="P6" s="23"/>
      <c r="Q6" s="23"/>
      <c r="R6" s="34"/>
      <c r="S6" s="34"/>
      <c r="T6" s="27"/>
      <c r="U6" s="23"/>
      <c r="V6" s="23"/>
      <c r="W6" s="23"/>
      <c r="X6" s="23"/>
    </row>
    <row r="7" spans="1:24" ht="20.100000000000001" customHeight="1">
      <c r="A7" s="26" t="s">
        <v>17</v>
      </c>
      <c r="B7" s="27" t="s">
        <v>18</v>
      </c>
      <c r="C7" s="28" t="s">
        <v>19</v>
      </c>
      <c r="D7" s="26" t="s">
        <v>20</v>
      </c>
      <c r="E7" s="23" t="s">
        <v>21</v>
      </c>
      <c r="F7" s="23"/>
      <c r="G7" s="23"/>
      <c r="H7" s="23" t="s">
        <v>22</v>
      </c>
      <c r="I7" s="23" t="s">
        <v>23</v>
      </c>
      <c r="J7" s="23" t="s">
        <v>24</v>
      </c>
      <c r="K7" s="24" t="s">
        <v>25</v>
      </c>
      <c r="L7" s="24" t="s">
        <v>26</v>
      </c>
      <c r="M7" s="23" t="s">
        <v>22</v>
      </c>
      <c r="N7" s="23" t="s">
        <v>23</v>
      </c>
      <c r="O7" s="23" t="s">
        <v>24</v>
      </c>
      <c r="P7" s="24" t="s">
        <v>25</v>
      </c>
      <c r="Q7" s="24" t="s">
        <v>26</v>
      </c>
      <c r="R7" s="34"/>
      <c r="S7" s="34"/>
      <c r="T7" s="27"/>
      <c r="U7" s="23"/>
      <c r="V7" s="23"/>
      <c r="W7" s="23"/>
      <c r="X7" s="23"/>
    </row>
    <row r="8" spans="1:24" ht="20.100000000000001" customHeight="1">
      <c r="A8" s="26"/>
      <c r="B8" s="27"/>
      <c r="C8" s="29"/>
      <c r="D8" s="26"/>
      <c r="E8" s="4" t="s">
        <v>27</v>
      </c>
      <c r="F8" s="4" t="s">
        <v>28</v>
      </c>
      <c r="G8" s="4" t="s">
        <v>29</v>
      </c>
      <c r="H8" s="23"/>
      <c r="I8" s="23"/>
      <c r="J8" s="23"/>
      <c r="K8" s="25"/>
      <c r="L8" s="25"/>
      <c r="M8" s="23"/>
      <c r="N8" s="23"/>
      <c r="O8" s="23"/>
      <c r="P8" s="25"/>
      <c r="Q8" s="25"/>
      <c r="R8" s="29"/>
      <c r="S8" s="29"/>
      <c r="T8" s="27"/>
      <c r="U8" s="23"/>
      <c r="V8" s="23"/>
      <c r="W8" s="23"/>
      <c r="X8" s="23"/>
    </row>
    <row r="9" spans="1:24" ht="30" customHeight="1">
      <c r="A9" s="2" t="s">
        <v>30</v>
      </c>
      <c r="B9" s="2" t="s">
        <v>31</v>
      </c>
      <c r="C9" s="2" t="s">
        <v>32</v>
      </c>
      <c r="D9" s="2" t="s">
        <v>33</v>
      </c>
      <c r="E9" s="5">
        <v>57.045999999999999</v>
      </c>
      <c r="F9" s="5">
        <v>57</v>
      </c>
      <c r="G9" s="5">
        <f t="shared" ref="G9:G72" si="0">(E9+F9)/2</f>
        <v>57.022999999999996</v>
      </c>
      <c r="H9" s="5"/>
      <c r="I9" s="5"/>
      <c r="J9" s="5"/>
      <c r="K9" s="5"/>
      <c r="L9" s="5"/>
      <c r="M9" s="5"/>
      <c r="N9" s="5"/>
      <c r="O9" s="5"/>
      <c r="P9" s="5"/>
      <c r="Q9" s="5"/>
      <c r="R9" s="4">
        <f t="shared" ref="R9:R40" si="1">COUNT(H9:Q9)</f>
        <v>0</v>
      </c>
      <c r="S9" s="6" t="e">
        <f t="shared" ref="S9:S40" si="2">AVERAGE(H9:Q9)</f>
        <v>#DIV/0!</v>
      </c>
      <c r="T9" s="2" t="e">
        <f t="shared" ref="T9:T40" si="3">STDEVA(H9:Q9)</f>
        <v>#DIV/0!</v>
      </c>
      <c r="U9" s="7" t="e">
        <f t="shared" ref="U9:U40" si="4">(E9-F9)/(6*T9)</f>
        <v>#DIV/0!</v>
      </c>
      <c r="V9" s="7" t="e">
        <f t="shared" ref="V9:V40" si="5">(E9-S9)/(3*T9)</f>
        <v>#DIV/0!</v>
      </c>
      <c r="W9" s="7" t="e">
        <f t="shared" ref="W9:W29" si="6">(S9-F9)/(3*T9)</f>
        <v>#DIV/0!</v>
      </c>
      <c r="X9" s="7" t="e">
        <f t="shared" ref="X9:X71" si="7">MIN(V9:W9)</f>
        <v>#DIV/0!</v>
      </c>
    </row>
    <row r="10" spans="1:24" ht="30" customHeight="1">
      <c r="A10" s="2" t="s">
        <v>30</v>
      </c>
      <c r="B10" s="2" t="s">
        <v>31</v>
      </c>
      <c r="C10" s="2" t="s">
        <v>32</v>
      </c>
      <c r="D10" s="2" t="s">
        <v>34</v>
      </c>
      <c r="E10" s="5">
        <v>82.07</v>
      </c>
      <c r="F10" s="5">
        <v>82.02</v>
      </c>
      <c r="G10" s="5">
        <f t="shared" si="0"/>
        <v>82.044999999999987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4">
        <f t="shared" si="1"/>
        <v>0</v>
      </c>
      <c r="S10" s="6" t="e">
        <f t="shared" si="2"/>
        <v>#DIV/0!</v>
      </c>
      <c r="T10" s="2" t="e">
        <f t="shared" si="3"/>
        <v>#DIV/0!</v>
      </c>
      <c r="U10" s="7" t="e">
        <f t="shared" si="4"/>
        <v>#DIV/0!</v>
      </c>
      <c r="V10" s="7" t="e">
        <f t="shared" si="5"/>
        <v>#DIV/0!</v>
      </c>
      <c r="W10" s="7" t="e">
        <f t="shared" si="6"/>
        <v>#DIV/0!</v>
      </c>
      <c r="X10" s="7" t="e">
        <f t="shared" si="7"/>
        <v>#DIV/0!</v>
      </c>
    </row>
    <row r="11" spans="1:24" ht="30" customHeight="1">
      <c r="A11" s="2" t="s">
        <v>30</v>
      </c>
      <c r="B11" s="2" t="s">
        <v>31</v>
      </c>
      <c r="C11" s="2" t="s">
        <v>32</v>
      </c>
      <c r="D11" s="2" t="s">
        <v>35</v>
      </c>
      <c r="E11" s="5">
        <v>82.07</v>
      </c>
      <c r="F11" s="5">
        <v>82.02</v>
      </c>
      <c r="G11" s="5">
        <f t="shared" si="0"/>
        <v>82.044999999999987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4">
        <f t="shared" si="1"/>
        <v>0</v>
      </c>
      <c r="S11" s="6" t="e">
        <f t="shared" si="2"/>
        <v>#DIV/0!</v>
      </c>
      <c r="T11" s="2" t="e">
        <f t="shared" si="3"/>
        <v>#DIV/0!</v>
      </c>
      <c r="U11" s="7" t="e">
        <f t="shared" si="4"/>
        <v>#DIV/0!</v>
      </c>
      <c r="V11" s="7" t="e">
        <f t="shared" si="5"/>
        <v>#DIV/0!</v>
      </c>
      <c r="W11" s="7" t="e">
        <f t="shared" si="6"/>
        <v>#DIV/0!</v>
      </c>
      <c r="X11" s="7" t="e">
        <f>MIN(V11:W11)</f>
        <v>#DIV/0!</v>
      </c>
    </row>
    <row r="12" spans="1:24" ht="30" customHeight="1">
      <c r="A12" s="2" t="s">
        <v>30</v>
      </c>
      <c r="B12" s="2" t="s">
        <v>31</v>
      </c>
      <c r="C12" s="2" t="s">
        <v>32</v>
      </c>
      <c r="D12" s="2" t="s">
        <v>36</v>
      </c>
      <c r="E12" s="5">
        <v>48.33</v>
      </c>
      <c r="F12" s="5">
        <v>48.3</v>
      </c>
      <c r="G12" s="5">
        <f t="shared" si="0"/>
        <v>48.314999999999998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4">
        <f t="shared" si="1"/>
        <v>0</v>
      </c>
      <c r="S12" s="6" t="e">
        <f t="shared" si="2"/>
        <v>#DIV/0!</v>
      </c>
      <c r="T12" s="2" t="e">
        <f t="shared" si="3"/>
        <v>#DIV/0!</v>
      </c>
      <c r="U12" s="7" t="e">
        <f t="shared" si="4"/>
        <v>#DIV/0!</v>
      </c>
      <c r="V12" s="7" t="e">
        <f t="shared" si="5"/>
        <v>#DIV/0!</v>
      </c>
      <c r="W12" s="7" t="e">
        <f t="shared" si="6"/>
        <v>#DIV/0!</v>
      </c>
      <c r="X12" s="7" t="e">
        <f t="shared" si="7"/>
        <v>#DIV/0!</v>
      </c>
    </row>
    <row r="13" spans="1:24" ht="30" customHeight="1">
      <c r="A13" s="2" t="s">
        <v>30</v>
      </c>
      <c r="B13" s="2" t="s">
        <v>31</v>
      </c>
      <c r="C13" s="2" t="s">
        <v>37</v>
      </c>
      <c r="D13" s="2" t="s">
        <v>38</v>
      </c>
      <c r="E13" s="5">
        <v>14.05</v>
      </c>
      <c r="F13" s="5">
        <v>14.032</v>
      </c>
      <c r="G13" s="5">
        <f t="shared" si="0"/>
        <v>14.041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4">
        <f t="shared" si="1"/>
        <v>0</v>
      </c>
      <c r="S13" s="6" t="e">
        <f t="shared" si="2"/>
        <v>#DIV/0!</v>
      </c>
      <c r="T13" s="2" t="e">
        <f t="shared" si="3"/>
        <v>#DIV/0!</v>
      </c>
      <c r="U13" s="7" t="e">
        <f t="shared" si="4"/>
        <v>#DIV/0!</v>
      </c>
      <c r="V13" s="7" t="e">
        <f t="shared" si="5"/>
        <v>#DIV/0!</v>
      </c>
      <c r="W13" s="7" t="e">
        <f t="shared" si="6"/>
        <v>#DIV/0!</v>
      </c>
      <c r="X13" s="7" t="e">
        <f t="shared" si="7"/>
        <v>#DIV/0!</v>
      </c>
    </row>
    <row r="14" spans="1:24" ht="30" customHeight="1">
      <c r="A14" s="2" t="s">
        <v>30</v>
      </c>
      <c r="B14" s="2" t="s">
        <v>31</v>
      </c>
      <c r="C14" s="2" t="s">
        <v>37</v>
      </c>
      <c r="D14" s="2" t="s">
        <v>39</v>
      </c>
      <c r="E14" s="8">
        <v>261.76</v>
      </c>
      <c r="F14" s="8">
        <v>261.66000000000003</v>
      </c>
      <c r="G14" s="8">
        <f t="shared" si="0"/>
        <v>261.71000000000004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4">
        <f t="shared" si="1"/>
        <v>0</v>
      </c>
      <c r="S14" s="6" t="e">
        <f t="shared" si="2"/>
        <v>#DIV/0!</v>
      </c>
      <c r="T14" s="2" t="e">
        <f t="shared" si="3"/>
        <v>#DIV/0!</v>
      </c>
      <c r="U14" s="7" t="e">
        <f t="shared" si="4"/>
        <v>#DIV/0!</v>
      </c>
      <c r="V14" s="7" t="e">
        <f t="shared" si="5"/>
        <v>#DIV/0!</v>
      </c>
      <c r="W14" s="7" t="e">
        <f t="shared" si="6"/>
        <v>#DIV/0!</v>
      </c>
      <c r="X14" s="7" t="e">
        <f t="shared" si="7"/>
        <v>#DIV/0!</v>
      </c>
    </row>
    <row r="15" spans="1:24" ht="30" customHeight="1">
      <c r="A15" s="2" t="s">
        <v>30</v>
      </c>
      <c r="B15" s="2" t="s">
        <v>31</v>
      </c>
      <c r="C15" s="2" t="s">
        <v>40</v>
      </c>
      <c r="D15" s="2" t="s">
        <v>38</v>
      </c>
      <c r="E15" s="5">
        <v>14.05</v>
      </c>
      <c r="F15" s="5">
        <v>14.032</v>
      </c>
      <c r="G15" s="5">
        <f t="shared" si="0"/>
        <v>14.041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4">
        <f t="shared" si="1"/>
        <v>0</v>
      </c>
      <c r="S15" s="6" t="e">
        <f t="shared" si="2"/>
        <v>#DIV/0!</v>
      </c>
      <c r="T15" s="2" t="e">
        <f t="shared" si="3"/>
        <v>#DIV/0!</v>
      </c>
      <c r="U15" s="7" t="e">
        <f t="shared" si="4"/>
        <v>#DIV/0!</v>
      </c>
      <c r="V15" s="7" t="e">
        <f t="shared" si="5"/>
        <v>#DIV/0!</v>
      </c>
      <c r="W15" s="7" t="e">
        <f t="shared" si="6"/>
        <v>#DIV/0!</v>
      </c>
      <c r="X15" s="7" t="e">
        <f>MIN(V15:W15)</f>
        <v>#DIV/0!</v>
      </c>
    </row>
    <row r="16" spans="1:24" ht="30" customHeight="1">
      <c r="A16" s="2" t="s">
        <v>30</v>
      </c>
      <c r="B16" s="2" t="s">
        <v>31</v>
      </c>
      <c r="C16" s="2" t="s">
        <v>40</v>
      </c>
      <c r="D16" s="2" t="s">
        <v>39</v>
      </c>
      <c r="E16" s="8">
        <v>261.76</v>
      </c>
      <c r="F16" s="8">
        <v>261.66000000000003</v>
      </c>
      <c r="G16" s="8">
        <f t="shared" si="0"/>
        <v>261.71000000000004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4">
        <f t="shared" si="1"/>
        <v>0</v>
      </c>
      <c r="S16" s="6" t="e">
        <f t="shared" si="2"/>
        <v>#DIV/0!</v>
      </c>
      <c r="T16" s="2" t="e">
        <f t="shared" si="3"/>
        <v>#DIV/0!</v>
      </c>
      <c r="U16" s="7" t="e">
        <f t="shared" si="4"/>
        <v>#DIV/0!</v>
      </c>
      <c r="V16" s="7" t="e">
        <f t="shared" si="5"/>
        <v>#DIV/0!</v>
      </c>
      <c r="W16" s="7" t="e">
        <f t="shared" si="6"/>
        <v>#DIV/0!</v>
      </c>
      <c r="X16" s="7" t="e">
        <f>MIN(V16:W16)</f>
        <v>#DIV/0!</v>
      </c>
    </row>
    <row r="17" spans="1:24" ht="30" customHeight="1">
      <c r="A17" s="2" t="s">
        <v>41</v>
      </c>
      <c r="B17" s="2" t="s">
        <v>42</v>
      </c>
      <c r="C17" s="2" t="s">
        <v>43</v>
      </c>
      <c r="D17" s="2" t="s">
        <v>33</v>
      </c>
      <c r="E17" s="5">
        <v>61.957999999999998</v>
      </c>
      <c r="F17" s="5">
        <v>61.927999999999997</v>
      </c>
      <c r="G17" s="5">
        <f t="shared" si="0"/>
        <v>61.942999999999998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4">
        <f t="shared" si="1"/>
        <v>0</v>
      </c>
      <c r="S17" s="6" t="e">
        <f t="shared" si="2"/>
        <v>#DIV/0!</v>
      </c>
      <c r="T17" s="2" t="e">
        <f t="shared" si="3"/>
        <v>#DIV/0!</v>
      </c>
      <c r="U17" s="7" t="e">
        <f t="shared" si="4"/>
        <v>#DIV/0!</v>
      </c>
      <c r="V17" s="7" t="e">
        <f t="shared" si="5"/>
        <v>#DIV/0!</v>
      </c>
      <c r="W17" s="7" t="e">
        <f t="shared" si="6"/>
        <v>#DIV/0!</v>
      </c>
      <c r="X17" s="7" t="e">
        <f t="shared" si="7"/>
        <v>#DIV/0!</v>
      </c>
    </row>
    <row r="18" spans="1:24" ht="30" customHeight="1">
      <c r="A18" s="2" t="s">
        <v>41</v>
      </c>
      <c r="B18" s="2" t="s">
        <v>42</v>
      </c>
      <c r="C18" s="2" t="s">
        <v>43</v>
      </c>
      <c r="D18" s="2" t="s">
        <v>34</v>
      </c>
      <c r="E18" s="5">
        <v>85.04</v>
      </c>
      <c r="F18" s="5">
        <v>85.01</v>
      </c>
      <c r="G18" s="5">
        <f t="shared" si="0"/>
        <v>85.025000000000006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4">
        <f t="shared" si="1"/>
        <v>0</v>
      </c>
      <c r="S18" s="6" t="e">
        <f t="shared" si="2"/>
        <v>#DIV/0!</v>
      </c>
      <c r="T18" s="2" t="e">
        <f t="shared" si="3"/>
        <v>#DIV/0!</v>
      </c>
      <c r="U18" s="7" t="e">
        <f t="shared" si="4"/>
        <v>#DIV/0!</v>
      </c>
      <c r="V18" s="7" t="e">
        <f t="shared" si="5"/>
        <v>#DIV/0!</v>
      </c>
      <c r="W18" s="7" t="e">
        <f t="shared" si="6"/>
        <v>#DIV/0!</v>
      </c>
      <c r="X18" s="7" t="e">
        <f t="shared" si="7"/>
        <v>#DIV/0!</v>
      </c>
    </row>
    <row r="19" spans="1:24" ht="30" customHeight="1">
      <c r="A19" s="2" t="s">
        <v>41</v>
      </c>
      <c r="B19" s="2" t="s">
        <v>42</v>
      </c>
      <c r="C19" s="2" t="s">
        <v>43</v>
      </c>
      <c r="D19" s="2" t="s">
        <v>35</v>
      </c>
      <c r="E19" s="5">
        <v>16.05</v>
      </c>
      <c r="F19" s="5">
        <v>16.024999999999999</v>
      </c>
      <c r="G19" s="5">
        <f t="shared" si="0"/>
        <v>16.037500000000001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4">
        <f t="shared" si="1"/>
        <v>0</v>
      </c>
      <c r="S19" s="6" t="e">
        <f t="shared" si="2"/>
        <v>#DIV/0!</v>
      </c>
      <c r="T19" s="2" t="e">
        <f t="shared" si="3"/>
        <v>#DIV/0!</v>
      </c>
      <c r="U19" s="7" t="e">
        <f t="shared" si="4"/>
        <v>#DIV/0!</v>
      </c>
      <c r="V19" s="7" t="e">
        <f t="shared" si="5"/>
        <v>#DIV/0!</v>
      </c>
      <c r="W19" s="7" t="e">
        <f t="shared" si="6"/>
        <v>#DIV/0!</v>
      </c>
      <c r="X19" s="7" t="e">
        <f>MIN(V19:W19)</f>
        <v>#DIV/0!</v>
      </c>
    </row>
    <row r="20" spans="1:24" ht="30" customHeight="1">
      <c r="A20" s="2" t="s">
        <v>41</v>
      </c>
      <c r="B20" s="2" t="s">
        <v>42</v>
      </c>
      <c r="C20" s="2" t="s">
        <v>43</v>
      </c>
      <c r="D20" s="2" t="s">
        <v>36</v>
      </c>
      <c r="E20" s="5">
        <v>52.02</v>
      </c>
      <c r="F20" s="5">
        <v>51.99</v>
      </c>
      <c r="G20" s="5">
        <f t="shared" si="0"/>
        <v>52.005000000000003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4">
        <f t="shared" si="1"/>
        <v>0</v>
      </c>
      <c r="S20" s="6" t="e">
        <f t="shared" si="2"/>
        <v>#DIV/0!</v>
      </c>
      <c r="T20" s="2" t="e">
        <f t="shared" si="3"/>
        <v>#DIV/0!</v>
      </c>
      <c r="U20" s="7" t="e">
        <f t="shared" si="4"/>
        <v>#DIV/0!</v>
      </c>
      <c r="V20" s="7" t="e">
        <f t="shared" si="5"/>
        <v>#DIV/0!</v>
      </c>
      <c r="W20" s="7" t="e">
        <f t="shared" si="6"/>
        <v>#DIV/0!</v>
      </c>
      <c r="X20" s="7" t="e">
        <f t="shared" si="7"/>
        <v>#DIV/0!</v>
      </c>
    </row>
    <row r="21" spans="1:24" ht="30" customHeight="1">
      <c r="A21" s="2" t="s">
        <v>41</v>
      </c>
      <c r="B21" s="2" t="s">
        <v>42</v>
      </c>
      <c r="C21" s="2" t="s">
        <v>43</v>
      </c>
      <c r="D21" s="2" t="s">
        <v>38</v>
      </c>
      <c r="E21" s="5">
        <v>14.03</v>
      </c>
      <c r="F21" s="5">
        <v>13.98</v>
      </c>
      <c r="G21" s="5">
        <f t="shared" si="0"/>
        <v>14.004999999999999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4">
        <f t="shared" si="1"/>
        <v>0</v>
      </c>
      <c r="S21" s="6" t="e">
        <f t="shared" si="2"/>
        <v>#DIV/0!</v>
      </c>
      <c r="T21" s="2" t="e">
        <f t="shared" si="3"/>
        <v>#DIV/0!</v>
      </c>
      <c r="U21" s="7" t="e">
        <f t="shared" si="4"/>
        <v>#DIV/0!</v>
      </c>
      <c r="V21" s="7" t="e">
        <f t="shared" si="5"/>
        <v>#DIV/0!</v>
      </c>
      <c r="W21" s="7" t="e">
        <f t="shared" si="6"/>
        <v>#DIV/0!</v>
      </c>
      <c r="X21" s="7" t="e">
        <f t="shared" si="7"/>
        <v>#DIV/0!</v>
      </c>
    </row>
    <row r="22" spans="1:24" ht="30" customHeight="1">
      <c r="A22" s="2" t="s">
        <v>41</v>
      </c>
      <c r="B22" s="2" t="s">
        <v>42</v>
      </c>
      <c r="C22" s="2" t="s">
        <v>43</v>
      </c>
      <c r="D22" s="2" t="s">
        <v>39</v>
      </c>
      <c r="E22" s="5">
        <v>116</v>
      </c>
      <c r="F22" s="5">
        <v>115.9</v>
      </c>
      <c r="G22" s="5">
        <f t="shared" si="0"/>
        <v>115.95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4">
        <f t="shared" si="1"/>
        <v>0</v>
      </c>
      <c r="S22" s="6" t="e">
        <f t="shared" si="2"/>
        <v>#DIV/0!</v>
      </c>
      <c r="T22" s="2" t="e">
        <f t="shared" si="3"/>
        <v>#DIV/0!</v>
      </c>
      <c r="U22" s="7" t="e">
        <f t="shared" si="4"/>
        <v>#DIV/0!</v>
      </c>
      <c r="V22" s="7" t="e">
        <f t="shared" si="5"/>
        <v>#DIV/0!</v>
      </c>
      <c r="W22" s="7" t="e">
        <f t="shared" si="6"/>
        <v>#DIV/0!</v>
      </c>
      <c r="X22" s="7" t="e">
        <f t="shared" si="7"/>
        <v>#DIV/0!</v>
      </c>
    </row>
    <row r="23" spans="1:24" ht="30" customHeight="1">
      <c r="A23" s="2" t="s">
        <v>41</v>
      </c>
      <c r="B23" s="2" t="s">
        <v>42</v>
      </c>
      <c r="C23" s="2" t="s">
        <v>44</v>
      </c>
      <c r="D23" s="2" t="s">
        <v>33</v>
      </c>
      <c r="E23" s="5">
        <v>61.957999999999998</v>
      </c>
      <c r="F23" s="5">
        <v>61.927999999999997</v>
      </c>
      <c r="G23" s="5">
        <f t="shared" si="0"/>
        <v>61.942999999999998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4">
        <f t="shared" si="1"/>
        <v>0</v>
      </c>
      <c r="S23" s="6" t="e">
        <f t="shared" si="2"/>
        <v>#DIV/0!</v>
      </c>
      <c r="T23" s="2" t="e">
        <f t="shared" si="3"/>
        <v>#DIV/0!</v>
      </c>
      <c r="U23" s="7" t="e">
        <f t="shared" si="4"/>
        <v>#DIV/0!</v>
      </c>
      <c r="V23" s="7" t="e">
        <f t="shared" si="5"/>
        <v>#DIV/0!</v>
      </c>
      <c r="W23" s="7" t="e">
        <f t="shared" si="6"/>
        <v>#DIV/0!</v>
      </c>
      <c r="X23" s="7" t="e">
        <f t="shared" si="7"/>
        <v>#DIV/0!</v>
      </c>
    </row>
    <row r="24" spans="1:24" ht="30" customHeight="1">
      <c r="A24" s="2" t="s">
        <v>41</v>
      </c>
      <c r="B24" s="2" t="s">
        <v>42</v>
      </c>
      <c r="C24" s="2" t="s">
        <v>44</v>
      </c>
      <c r="D24" s="2" t="s">
        <v>34</v>
      </c>
      <c r="E24" s="5">
        <v>85.04</v>
      </c>
      <c r="F24" s="5">
        <v>85.01</v>
      </c>
      <c r="G24" s="5">
        <f t="shared" si="0"/>
        <v>85.025000000000006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4">
        <f t="shared" si="1"/>
        <v>0</v>
      </c>
      <c r="S24" s="6" t="e">
        <f t="shared" si="2"/>
        <v>#DIV/0!</v>
      </c>
      <c r="T24" s="2" t="e">
        <f t="shared" si="3"/>
        <v>#DIV/0!</v>
      </c>
      <c r="U24" s="7" t="e">
        <f t="shared" si="4"/>
        <v>#DIV/0!</v>
      </c>
      <c r="V24" s="7" t="e">
        <f t="shared" si="5"/>
        <v>#DIV/0!</v>
      </c>
      <c r="W24" s="7" t="e">
        <f t="shared" si="6"/>
        <v>#DIV/0!</v>
      </c>
      <c r="X24" s="7" t="e">
        <f t="shared" si="7"/>
        <v>#DIV/0!</v>
      </c>
    </row>
    <row r="25" spans="1:24" ht="30" customHeight="1">
      <c r="A25" s="2" t="s">
        <v>41</v>
      </c>
      <c r="B25" s="2" t="s">
        <v>42</v>
      </c>
      <c r="C25" s="2" t="s">
        <v>44</v>
      </c>
      <c r="D25" s="2" t="s">
        <v>35</v>
      </c>
      <c r="E25" s="5">
        <v>16.05</v>
      </c>
      <c r="F25" s="5">
        <v>16.024999999999999</v>
      </c>
      <c r="G25" s="5">
        <f t="shared" si="0"/>
        <v>16.037500000000001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4">
        <f t="shared" si="1"/>
        <v>0</v>
      </c>
      <c r="S25" s="6" t="e">
        <f t="shared" si="2"/>
        <v>#DIV/0!</v>
      </c>
      <c r="T25" s="2" t="e">
        <f t="shared" si="3"/>
        <v>#DIV/0!</v>
      </c>
      <c r="U25" s="7" t="e">
        <f t="shared" si="4"/>
        <v>#DIV/0!</v>
      </c>
      <c r="V25" s="7" t="e">
        <f t="shared" si="5"/>
        <v>#DIV/0!</v>
      </c>
      <c r="W25" s="7" t="e">
        <f t="shared" si="6"/>
        <v>#DIV/0!</v>
      </c>
      <c r="X25" s="7" t="e">
        <f t="shared" si="7"/>
        <v>#DIV/0!</v>
      </c>
    </row>
    <row r="26" spans="1:24" ht="30" customHeight="1">
      <c r="A26" s="2" t="s">
        <v>41</v>
      </c>
      <c r="B26" s="2" t="s">
        <v>42</v>
      </c>
      <c r="C26" s="2" t="s">
        <v>44</v>
      </c>
      <c r="D26" s="2" t="s">
        <v>36</v>
      </c>
      <c r="E26" s="5">
        <v>52.02</v>
      </c>
      <c r="F26" s="5">
        <v>51.99</v>
      </c>
      <c r="G26" s="5">
        <f t="shared" si="0"/>
        <v>52.005000000000003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4">
        <f t="shared" si="1"/>
        <v>0</v>
      </c>
      <c r="S26" s="6" t="e">
        <f t="shared" si="2"/>
        <v>#DIV/0!</v>
      </c>
      <c r="T26" s="2" t="e">
        <f t="shared" si="3"/>
        <v>#DIV/0!</v>
      </c>
      <c r="U26" s="7" t="e">
        <f t="shared" si="4"/>
        <v>#DIV/0!</v>
      </c>
      <c r="V26" s="7" t="e">
        <f t="shared" si="5"/>
        <v>#DIV/0!</v>
      </c>
      <c r="W26" s="7" t="e">
        <f t="shared" si="6"/>
        <v>#DIV/0!</v>
      </c>
      <c r="X26" s="7" t="e">
        <f t="shared" si="7"/>
        <v>#DIV/0!</v>
      </c>
    </row>
    <row r="27" spans="1:24" ht="30" customHeight="1">
      <c r="A27" s="2" t="s">
        <v>41</v>
      </c>
      <c r="B27" s="2" t="s">
        <v>42</v>
      </c>
      <c r="C27" s="2" t="s">
        <v>44</v>
      </c>
      <c r="D27" s="2" t="s">
        <v>38</v>
      </c>
      <c r="E27" s="5">
        <v>14.03</v>
      </c>
      <c r="F27" s="5">
        <v>13.98</v>
      </c>
      <c r="G27" s="5">
        <f t="shared" si="0"/>
        <v>14.004999999999999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4">
        <f t="shared" si="1"/>
        <v>0</v>
      </c>
      <c r="S27" s="6" t="e">
        <f t="shared" si="2"/>
        <v>#DIV/0!</v>
      </c>
      <c r="T27" s="2" t="e">
        <f t="shared" si="3"/>
        <v>#DIV/0!</v>
      </c>
      <c r="U27" s="7" t="e">
        <f t="shared" si="4"/>
        <v>#DIV/0!</v>
      </c>
      <c r="V27" s="7" t="e">
        <f t="shared" si="5"/>
        <v>#DIV/0!</v>
      </c>
      <c r="W27" s="7" t="e">
        <f t="shared" si="6"/>
        <v>#DIV/0!</v>
      </c>
      <c r="X27" s="7" t="e">
        <f t="shared" si="7"/>
        <v>#DIV/0!</v>
      </c>
    </row>
    <row r="28" spans="1:24" ht="30" customHeight="1">
      <c r="A28" s="2" t="s">
        <v>41</v>
      </c>
      <c r="B28" s="2" t="s">
        <v>42</v>
      </c>
      <c r="C28" s="2" t="s">
        <v>44</v>
      </c>
      <c r="D28" s="2" t="s">
        <v>39</v>
      </c>
      <c r="E28" s="5">
        <v>116</v>
      </c>
      <c r="F28" s="5">
        <v>115.9</v>
      </c>
      <c r="G28" s="5">
        <f t="shared" si="0"/>
        <v>115.95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4">
        <f t="shared" si="1"/>
        <v>0</v>
      </c>
      <c r="S28" s="6" t="e">
        <f t="shared" si="2"/>
        <v>#DIV/0!</v>
      </c>
      <c r="T28" s="2" t="e">
        <f t="shared" si="3"/>
        <v>#DIV/0!</v>
      </c>
      <c r="U28" s="7" t="e">
        <f t="shared" si="4"/>
        <v>#DIV/0!</v>
      </c>
      <c r="V28" s="7" t="e">
        <f t="shared" si="5"/>
        <v>#DIV/0!</v>
      </c>
      <c r="W28" s="7" t="e">
        <f t="shared" si="6"/>
        <v>#DIV/0!</v>
      </c>
      <c r="X28" s="7" t="e">
        <f t="shared" si="7"/>
        <v>#DIV/0!</v>
      </c>
    </row>
    <row r="29" spans="1:24" ht="30" customHeight="1">
      <c r="A29" s="2" t="s">
        <v>41</v>
      </c>
      <c r="B29" s="2" t="s">
        <v>42</v>
      </c>
      <c r="C29" s="2" t="s">
        <v>45</v>
      </c>
      <c r="D29" s="2" t="s">
        <v>33</v>
      </c>
      <c r="E29" s="5">
        <v>61.957999999999998</v>
      </c>
      <c r="F29" s="5">
        <v>61.927999999999997</v>
      </c>
      <c r="G29" s="5">
        <f t="shared" si="0"/>
        <v>61.942999999999998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4">
        <f t="shared" si="1"/>
        <v>0</v>
      </c>
      <c r="S29" s="6" t="e">
        <f t="shared" si="2"/>
        <v>#DIV/0!</v>
      </c>
      <c r="T29" s="2" t="e">
        <f t="shared" si="3"/>
        <v>#DIV/0!</v>
      </c>
      <c r="U29" s="7" t="e">
        <f t="shared" si="4"/>
        <v>#DIV/0!</v>
      </c>
      <c r="V29" s="7" t="e">
        <f t="shared" si="5"/>
        <v>#DIV/0!</v>
      </c>
      <c r="W29" s="7" t="e">
        <f t="shared" si="6"/>
        <v>#DIV/0!</v>
      </c>
      <c r="X29" s="7" t="e">
        <f t="shared" si="7"/>
        <v>#DIV/0!</v>
      </c>
    </row>
    <row r="30" spans="1:24" ht="30" customHeight="1">
      <c r="A30" s="2" t="s">
        <v>41</v>
      </c>
      <c r="B30" s="2" t="s">
        <v>42</v>
      </c>
      <c r="C30" s="2" t="s">
        <v>45</v>
      </c>
      <c r="D30" s="2" t="s">
        <v>34</v>
      </c>
      <c r="E30" s="5">
        <v>85.04</v>
      </c>
      <c r="F30" s="5">
        <v>85.01</v>
      </c>
      <c r="G30" s="5">
        <f t="shared" si="0"/>
        <v>85.025000000000006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4">
        <f t="shared" si="1"/>
        <v>0</v>
      </c>
      <c r="S30" s="6" t="e">
        <f t="shared" si="2"/>
        <v>#DIV/0!</v>
      </c>
      <c r="T30" s="2" t="e">
        <f t="shared" si="3"/>
        <v>#DIV/0!</v>
      </c>
      <c r="U30" s="7" t="e">
        <f t="shared" si="4"/>
        <v>#DIV/0!</v>
      </c>
      <c r="V30" s="7" t="e">
        <f t="shared" si="5"/>
        <v>#DIV/0!</v>
      </c>
      <c r="W30" s="7" t="s">
        <v>46</v>
      </c>
      <c r="X30" s="7" t="e">
        <f t="shared" si="7"/>
        <v>#DIV/0!</v>
      </c>
    </row>
    <row r="31" spans="1:24" ht="30" customHeight="1">
      <c r="A31" s="2" t="s">
        <v>41</v>
      </c>
      <c r="B31" s="2" t="s">
        <v>42</v>
      </c>
      <c r="C31" s="2" t="s">
        <v>45</v>
      </c>
      <c r="D31" s="2" t="s">
        <v>35</v>
      </c>
      <c r="E31" s="5">
        <v>16.05</v>
      </c>
      <c r="F31" s="5">
        <v>16.024999999999999</v>
      </c>
      <c r="G31" s="5">
        <f t="shared" si="0"/>
        <v>16.037500000000001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4">
        <f t="shared" si="1"/>
        <v>0</v>
      </c>
      <c r="S31" s="6" t="e">
        <f t="shared" si="2"/>
        <v>#DIV/0!</v>
      </c>
      <c r="T31" s="2" t="e">
        <f t="shared" si="3"/>
        <v>#DIV/0!</v>
      </c>
      <c r="U31" s="7" t="e">
        <f t="shared" si="4"/>
        <v>#DIV/0!</v>
      </c>
      <c r="V31" s="7" t="e">
        <f t="shared" si="5"/>
        <v>#DIV/0!</v>
      </c>
      <c r="W31" s="7" t="e">
        <f t="shared" ref="W31:W73" si="8">(S31-F31)/(3*T31)</f>
        <v>#DIV/0!</v>
      </c>
      <c r="X31" s="7" t="e">
        <f t="shared" si="7"/>
        <v>#DIV/0!</v>
      </c>
    </row>
    <row r="32" spans="1:24" ht="30" customHeight="1">
      <c r="A32" s="2" t="s">
        <v>41</v>
      </c>
      <c r="B32" s="2" t="s">
        <v>42</v>
      </c>
      <c r="C32" s="2" t="s">
        <v>45</v>
      </c>
      <c r="D32" s="2" t="s">
        <v>36</v>
      </c>
      <c r="E32" s="5">
        <v>52.02</v>
      </c>
      <c r="F32" s="5">
        <v>51.99</v>
      </c>
      <c r="G32" s="5">
        <f t="shared" si="0"/>
        <v>52.005000000000003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4">
        <f t="shared" si="1"/>
        <v>0</v>
      </c>
      <c r="S32" s="6" t="e">
        <f t="shared" si="2"/>
        <v>#DIV/0!</v>
      </c>
      <c r="T32" s="2" t="e">
        <f t="shared" si="3"/>
        <v>#DIV/0!</v>
      </c>
      <c r="U32" s="7" t="e">
        <f t="shared" si="4"/>
        <v>#DIV/0!</v>
      </c>
      <c r="V32" s="7" t="e">
        <f t="shared" si="5"/>
        <v>#DIV/0!</v>
      </c>
      <c r="W32" s="7" t="e">
        <f t="shared" si="8"/>
        <v>#DIV/0!</v>
      </c>
      <c r="X32" s="7" t="e">
        <f t="shared" si="7"/>
        <v>#DIV/0!</v>
      </c>
    </row>
    <row r="33" spans="1:24" ht="30" customHeight="1">
      <c r="A33" s="2" t="s">
        <v>41</v>
      </c>
      <c r="B33" s="2" t="s">
        <v>42</v>
      </c>
      <c r="C33" s="2" t="s">
        <v>47</v>
      </c>
      <c r="D33" s="2" t="s">
        <v>38</v>
      </c>
      <c r="E33" s="5">
        <v>14.03</v>
      </c>
      <c r="F33" s="5">
        <v>13.98</v>
      </c>
      <c r="G33" s="5">
        <f t="shared" si="0"/>
        <v>14.004999999999999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4">
        <f t="shared" si="1"/>
        <v>0</v>
      </c>
      <c r="S33" s="6" t="e">
        <f t="shared" si="2"/>
        <v>#DIV/0!</v>
      </c>
      <c r="T33" s="2" t="e">
        <f t="shared" si="3"/>
        <v>#DIV/0!</v>
      </c>
      <c r="U33" s="7" t="e">
        <f t="shared" si="4"/>
        <v>#DIV/0!</v>
      </c>
      <c r="V33" s="7" t="e">
        <f t="shared" si="5"/>
        <v>#DIV/0!</v>
      </c>
      <c r="W33" s="7" t="e">
        <f t="shared" si="8"/>
        <v>#DIV/0!</v>
      </c>
      <c r="X33" s="7" t="e">
        <f>MIN(V33:W33)</f>
        <v>#DIV/0!</v>
      </c>
    </row>
    <row r="34" spans="1:24" ht="30" customHeight="1">
      <c r="A34" s="2" t="s">
        <v>41</v>
      </c>
      <c r="B34" s="2" t="s">
        <v>42</v>
      </c>
      <c r="C34" s="2" t="s">
        <v>47</v>
      </c>
      <c r="D34" s="2" t="s">
        <v>39</v>
      </c>
      <c r="E34" s="5">
        <v>116</v>
      </c>
      <c r="F34" s="5">
        <v>115.9</v>
      </c>
      <c r="G34" s="5">
        <f t="shared" si="0"/>
        <v>115.95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4">
        <f t="shared" si="1"/>
        <v>0</v>
      </c>
      <c r="S34" s="6" t="e">
        <f t="shared" si="2"/>
        <v>#DIV/0!</v>
      </c>
      <c r="T34" s="2" t="e">
        <f t="shared" si="3"/>
        <v>#DIV/0!</v>
      </c>
      <c r="U34" s="7" t="e">
        <f t="shared" si="4"/>
        <v>#DIV/0!</v>
      </c>
      <c r="V34" s="7" t="e">
        <f t="shared" si="5"/>
        <v>#DIV/0!</v>
      </c>
      <c r="W34" s="7" t="e">
        <f t="shared" si="8"/>
        <v>#DIV/0!</v>
      </c>
      <c r="X34" s="7" t="e">
        <f>MIN(V34:W34)</f>
        <v>#DIV/0!</v>
      </c>
    </row>
    <row r="35" spans="1:24" ht="30" customHeight="1">
      <c r="A35" s="2" t="s">
        <v>48</v>
      </c>
      <c r="B35" s="2" t="s">
        <v>49</v>
      </c>
      <c r="C35" s="9" t="s">
        <v>50</v>
      </c>
      <c r="D35" s="2" t="s">
        <v>51</v>
      </c>
      <c r="E35" s="5">
        <v>29.952000000000002</v>
      </c>
      <c r="F35" s="5">
        <v>29.936</v>
      </c>
      <c r="G35" s="5">
        <f t="shared" si="0"/>
        <v>29.944000000000003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4">
        <f t="shared" si="1"/>
        <v>0</v>
      </c>
      <c r="S35" s="6" t="e">
        <f t="shared" si="2"/>
        <v>#DIV/0!</v>
      </c>
      <c r="T35" s="2" t="e">
        <f t="shared" si="3"/>
        <v>#DIV/0!</v>
      </c>
      <c r="U35" s="7" t="e">
        <f t="shared" si="4"/>
        <v>#DIV/0!</v>
      </c>
      <c r="V35" s="7" t="e">
        <f t="shared" si="5"/>
        <v>#DIV/0!</v>
      </c>
      <c r="W35" s="7" t="e">
        <f t="shared" si="8"/>
        <v>#DIV/0!</v>
      </c>
      <c r="X35" s="7" t="e">
        <f t="shared" si="7"/>
        <v>#DIV/0!</v>
      </c>
    </row>
    <row r="36" spans="1:24" ht="30" customHeight="1">
      <c r="A36" s="2" t="s">
        <v>48</v>
      </c>
      <c r="B36" s="2" t="s">
        <v>49</v>
      </c>
      <c r="C36" s="9" t="s">
        <v>50</v>
      </c>
      <c r="D36" s="2" t="s">
        <v>52</v>
      </c>
      <c r="E36" s="5">
        <v>29.952000000000002</v>
      </c>
      <c r="F36" s="5">
        <v>29.936</v>
      </c>
      <c r="G36" s="5">
        <f t="shared" si="0"/>
        <v>29.944000000000003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4">
        <f t="shared" si="1"/>
        <v>0</v>
      </c>
      <c r="S36" s="6" t="e">
        <f t="shared" si="2"/>
        <v>#DIV/0!</v>
      </c>
      <c r="T36" s="2" t="e">
        <f t="shared" si="3"/>
        <v>#DIV/0!</v>
      </c>
      <c r="U36" s="7" t="e">
        <f t="shared" si="4"/>
        <v>#DIV/0!</v>
      </c>
      <c r="V36" s="7" t="e">
        <f t="shared" si="5"/>
        <v>#DIV/0!</v>
      </c>
      <c r="W36" s="7" t="e">
        <f t="shared" si="8"/>
        <v>#DIV/0!</v>
      </c>
      <c r="X36" s="7" t="e">
        <f t="shared" si="7"/>
        <v>#DIV/0!</v>
      </c>
    </row>
    <row r="37" spans="1:24" ht="30" customHeight="1">
      <c r="A37" s="2" t="s">
        <v>48</v>
      </c>
      <c r="B37" s="2" t="s">
        <v>53</v>
      </c>
      <c r="C37" s="2" t="s">
        <v>54</v>
      </c>
      <c r="D37" s="2" t="s">
        <v>55</v>
      </c>
      <c r="E37" s="5">
        <v>101.964</v>
      </c>
      <c r="F37" s="5">
        <v>101.928</v>
      </c>
      <c r="G37" s="5">
        <f t="shared" si="0"/>
        <v>101.946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4">
        <f t="shared" si="1"/>
        <v>0</v>
      </c>
      <c r="S37" s="6" t="e">
        <f t="shared" si="2"/>
        <v>#DIV/0!</v>
      </c>
      <c r="T37" s="2" t="e">
        <f t="shared" si="3"/>
        <v>#DIV/0!</v>
      </c>
      <c r="U37" s="7" t="e">
        <f t="shared" si="4"/>
        <v>#DIV/0!</v>
      </c>
      <c r="V37" s="7" t="e">
        <f t="shared" si="5"/>
        <v>#DIV/0!</v>
      </c>
      <c r="W37" s="7" t="e">
        <f t="shared" si="8"/>
        <v>#DIV/0!</v>
      </c>
      <c r="X37" s="7" t="e">
        <f t="shared" si="7"/>
        <v>#DIV/0!</v>
      </c>
    </row>
    <row r="38" spans="1:24" ht="30" customHeight="1">
      <c r="A38" s="2" t="s">
        <v>48</v>
      </c>
      <c r="B38" s="2" t="s">
        <v>53</v>
      </c>
      <c r="C38" s="2" t="s">
        <v>54</v>
      </c>
      <c r="D38" s="2" t="s">
        <v>33</v>
      </c>
      <c r="E38" s="5">
        <v>36.473999999999997</v>
      </c>
      <c r="F38" s="5">
        <v>36.448999999999998</v>
      </c>
      <c r="G38" s="5">
        <f t="shared" si="0"/>
        <v>36.461500000000001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4">
        <f t="shared" si="1"/>
        <v>0</v>
      </c>
      <c r="S38" s="6" t="e">
        <f t="shared" si="2"/>
        <v>#DIV/0!</v>
      </c>
      <c r="T38" s="2" t="e">
        <f t="shared" si="3"/>
        <v>#DIV/0!</v>
      </c>
      <c r="U38" s="7" t="e">
        <f t="shared" si="4"/>
        <v>#DIV/0!</v>
      </c>
      <c r="V38" s="7" t="e">
        <f t="shared" si="5"/>
        <v>#DIV/0!</v>
      </c>
      <c r="W38" s="7" t="e">
        <f t="shared" si="8"/>
        <v>#DIV/0!</v>
      </c>
      <c r="X38" s="7" t="e">
        <f t="shared" si="7"/>
        <v>#DIV/0!</v>
      </c>
    </row>
    <row r="39" spans="1:24" ht="30" customHeight="1">
      <c r="A39" s="2" t="s">
        <v>48</v>
      </c>
      <c r="B39" s="2" t="s">
        <v>53</v>
      </c>
      <c r="C39" s="2" t="s">
        <v>56</v>
      </c>
      <c r="D39" s="2" t="s">
        <v>55</v>
      </c>
      <c r="E39" s="5">
        <v>101.964</v>
      </c>
      <c r="F39" s="5">
        <v>101.928</v>
      </c>
      <c r="G39" s="5">
        <f t="shared" si="0"/>
        <v>101.946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4">
        <f t="shared" si="1"/>
        <v>0</v>
      </c>
      <c r="S39" s="6" t="e">
        <f t="shared" si="2"/>
        <v>#DIV/0!</v>
      </c>
      <c r="T39" s="2" t="e">
        <f t="shared" si="3"/>
        <v>#DIV/0!</v>
      </c>
      <c r="U39" s="7" t="e">
        <f t="shared" si="4"/>
        <v>#DIV/0!</v>
      </c>
      <c r="V39" s="7" t="e">
        <f t="shared" si="5"/>
        <v>#DIV/0!</v>
      </c>
      <c r="W39" s="7" t="e">
        <f t="shared" si="8"/>
        <v>#DIV/0!</v>
      </c>
      <c r="X39" s="7" t="e">
        <f>MIN(V39:W39)</f>
        <v>#DIV/0!</v>
      </c>
    </row>
    <row r="40" spans="1:24" ht="30" customHeight="1">
      <c r="A40" s="2" t="s">
        <v>48</v>
      </c>
      <c r="B40" s="2" t="s">
        <v>53</v>
      </c>
      <c r="C40" s="2" t="s">
        <v>56</v>
      </c>
      <c r="D40" s="2" t="s">
        <v>33</v>
      </c>
      <c r="E40" s="5">
        <v>36.473999999999997</v>
      </c>
      <c r="F40" s="5">
        <v>36.448999999999998</v>
      </c>
      <c r="G40" s="5">
        <f t="shared" si="0"/>
        <v>36.461500000000001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4">
        <f t="shared" si="1"/>
        <v>0</v>
      </c>
      <c r="S40" s="6" t="e">
        <f t="shared" si="2"/>
        <v>#DIV/0!</v>
      </c>
      <c r="T40" s="2" t="e">
        <f t="shared" si="3"/>
        <v>#DIV/0!</v>
      </c>
      <c r="U40" s="7" t="e">
        <f t="shared" si="4"/>
        <v>#DIV/0!</v>
      </c>
      <c r="V40" s="7" t="e">
        <f t="shared" si="5"/>
        <v>#DIV/0!</v>
      </c>
      <c r="W40" s="7" t="e">
        <f t="shared" si="8"/>
        <v>#DIV/0!</v>
      </c>
      <c r="X40" s="7" t="e">
        <f>MIN(V40:W40)</f>
        <v>#DIV/0!</v>
      </c>
    </row>
    <row r="41" spans="1:24" ht="30" customHeight="1">
      <c r="A41" s="2" t="s">
        <v>48</v>
      </c>
      <c r="B41" s="2" t="s">
        <v>53</v>
      </c>
      <c r="C41" s="2" t="s">
        <v>57</v>
      </c>
      <c r="D41" s="2" t="s">
        <v>52</v>
      </c>
      <c r="E41" s="5">
        <v>29.965</v>
      </c>
      <c r="F41" s="5">
        <v>29.948</v>
      </c>
      <c r="G41" s="5">
        <f t="shared" si="0"/>
        <v>29.956499999999998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4">
        <f t="shared" ref="R41:R72" si="9">COUNT(H41:Q41)</f>
        <v>0</v>
      </c>
      <c r="S41" s="6" t="e">
        <f t="shared" ref="S41:S73" si="10">AVERAGE(H41:Q41)</f>
        <v>#DIV/0!</v>
      </c>
      <c r="T41" s="2" t="e">
        <f t="shared" ref="T41:T73" si="11">STDEVA(H41:Q41)</f>
        <v>#DIV/0!</v>
      </c>
      <c r="U41" s="7" t="e">
        <f t="shared" ref="U41:U72" si="12">(E41-F41)/(6*T41)</f>
        <v>#DIV/0!</v>
      </c>
      <c r="V41" s="7" t="e">
        <f t="shared" ref="V41:V73" si="13">(E41-S41)/(3*T41)</f>
        <v>#DIV/0!</v>
      </c>
      <c r="W41" s="7" t="e">
        <f t="shared" si="8"/>
        <v>#DIV/0!</v>
      </c>
      <c r="X41" s="7" t="e">
        <f t="shared" si="7"/>
        <v>#DIV/0!</v>
      </c>
    </row>
    <row r="42" spans="1:24" ht="30" customHeight="1">
      <c r="A42" s="2" t="s">
        <v>48</v>
      </c>
      <c r="B42" s="2" t="s">
        <v>58</v>
      </c>
      <c r="C42" s="2" t="s">
        <v>59</v>
      </c>
      <c r="D42" s="2" t="s">
        <v>52</v>
      </c>
      <c r="E42" s="5">
        <v>29.97</v>
      </c>
      <c r="F42" s="5">
        <v>29.95</v>
      </c>
      <c r="G42" s="5">
        <f t="shared" si="0"/>
        <v>29.96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4">
        <f t="shared" si="9"/>
        <v>0</v>
      </c>
      <c r="S42" s="6" t="e">
        <f t="shared" si="10"/>
        <v>#DIV/0!</v>
      </c>
      <c r="T42" s="2" t="e">
        <f t="shared" si="11"/>
        <v>#DIV/0!</v>
      </c>
      <c r="U42" s="7" t="e">
        <f t="shared" si="12"/>
        <v>#DIV/0!</v>
      </c>
      <c r="V42" s="7" t="e">
        <f t="shared" si="13"/>
        <v>#DIV/0!</v>
      </c>
      <c r="W42" s="7" t="e">
        <f t="shared" si="8"/>
        <v>#DIV/0!</v>
      </c>
      <c r="X42" s="7" t="e">
        <f t="shared" si="7"/>
        <v>#DIV/0!</v>
      </c>
    </row>
    <row r="43" spans="1:24" ht="30" customHeight="1">
      <c r="A43" s="2" t="s">
        <v>48</v>
      </c>
      <c r="B43" s="2" t="s">
        <v>58</v>
      </c>
      <c r="C43" s="2" t="s">
        <v>60</v>
      </c>
      <c r="D43" s="2" t="s">
        <v>33</v>
      </c>
      <c r="E43" s="5">
        <v>36.514000000000003</v>
      </c>
      <c r="F43" s="5">
        <v>36.488999999999997</v>
      </c>
      <c r="G43" s="5">
        <f t="shared" si="0"/>
        <v>36.5015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4">
        <f t="shared" si="9"/>
        <v>0</v>
      </c>
      <c r="S43" s="6" t="e">
        <f t="shared" si="10"/>
        <v>#DIV/0!</v>
      </c>
      <c r="T43" s="2" t="e">
        <f t="shared" si="11"/>
        <v>#DIV/0!</v>
      </c>
      <c r="U43" s="7" t="e">
        <f t="shared" si="12"/>
        <v>#DIV/0!</v>
      </c>
      <c r="V43" s="7" t="e">
        <f t="shared" si="13"/>
        <v>#DIV/0!</v>
      </c>
      <c r="W43" s="7" t="e">
        <f t="shared" si="8"/>
        <v>#DIV/0!</v>
      </c>
      <c r="X43" s="7" t="e">
        <f t="shared" si="7"/>
        <v>#DIV/0!</v>
      </c>
    </row>
    <row r="44" spans="1:24" ht="30" customHeight="1">
      <c r="A44" s="2" t="s">
        <v>48</v>
      </c>
      <c r="B44" s="2" t="s">
        <v>61</v>
      </c>
      <c r="C44" s="2" t="s">
        <v>62</v>
      </c>
      <c r="D44" s="2" t="s">
        <v>33</v>
      </c>
      <c r="E44" s="5">
        <v>29.952000000000002</v>
      </c>
      <c r="F44" s="5">
        <v>29.936</v>
      </c>
      <c r="G44" s="5">
        <f t="shared" si="0"/>
        <v>29.944000000000003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4">
        <f t="shared" si="9"/>
        <v>0</v>
      </c>
      <c r="S44" s="6" t="e">
        <f t="shared" si="10"/>
        <v>#DIV/0!</v>
      </c>
      <c r="T44" s="2" t="e">
        <f t="shared" si="11"/>
        <v>#DIV/0!</v>
      </c>
      <c r="U44" s="7" t="e">
        <f t="shared" si="12"/>
        <v>#DIV/0!</v>
      </c>
      <c r="V44" s="7" t="e">
        <f t="shared" si="13"/>
        <v>#DIV/0!</v>
      </c>
      <c r="W44" s="7" t="e">
        <f t="shared" si="8"/>
        <v>#DIV/0!</v>
      </c>
      <c r="X44" s="7" t="e">
        <f t="shared" si="7"/>
        <v>#DIV/0!</v>
      </c>
    </row>
    <row r="45" spans="1:24" ht="30" customHeight="1">
      <c r="A45" s="2" t="s">
        <v>48</v>
      </c>
      <c r="B45" s="2" t="s">
        <v>63</v>
      </c>
      <c r="C45" s="2" t="s">
        <v>64</v>
      </c>
      <c r="D45" s="2" t="s">
        <v>65</v>
      </c>
      <c r="E45" s="5">
        <v>10.06</v>
      </c>
      <c r="F45" s="5">
        <v>10.039999999999999</v>
      </c>
      <c r="G45" s="5">
        <f t="shared" si="0"/>
        <v>10.050000000000001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4">
        <f t="shared" si="9"/>
        <v>0</v>
      </c>
      <c r="S45" s="6" t="e">
        <f t="shared" si="10"/>
        <v>#DIV/0!</v>
      </c>
      <c r="T45" s="2" t="e">
        <f t="shared" si="11"/>
        <v>#DIV/0!</v>
      </c>
      <c r="U45" s="7" t="e">
        <f t="shared" si="12"/>
        <v>#DIV/0!</v>
      </c>
      <c r="V45" s="7" t="e">
        <f t="shared" si="13"/>
        <v>#DIV/0!</v>
      </c>
      <c r="W45" s="7" t="e">
        <f t="shared" si="8"/>
        <v>#DIV/0!</v>
      </c>
      <c r="X45" s="7" t="e">
        <f t="shared" si="7"/>
        <v>#DIV/0!</v>
      </c>
    </row>
    <row r="46" spans="1:24" ht="30" customHeight="1">
      <c r="A46" s="2" t="s">
        <v>48</v>
      </c>
      <c r="B46" s="2" t="s">
        <v>61</v>
      </c>
      <c r="C46" s="2" t="s">
        <v>66</v>
      </c>
      <c r="D46" s="2" t="s">
        <v>52</v>
      </c>
      <c r="E46" s="5">
        <v>29.952000000000002</v>
      </c>
      <c r="F46" s="5">
        <v>29.936</v>
      </c>
      <c r="G46" s="5">
        <f t="shared" si="0"/>
        <v>29.944000000000003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4">
        <f t="shared" si="9"/>
        <v>0</v>
      </c>
      <c r="S46" s="6" t="e">
        <f t="shared" si="10"/>
        <v>#DIV/0!</v>
      </c>
      <c r="T46" s="2" t="e">
        <f t="shared" si="11"/>
        <v>#DIV/0!</v>
      </c>
      <c r="U46" s="7" t="e">
        <f t="shared" si="12"/>
        <v>#DIV/0!</v>
      </c>
      <c r="V46" s="7" t="e">
        <f t="shared" si="13"/>
        <v>#DIV/0!</v>
      </c>
      <c r="W46" s="7" t="e">
        <f t="shared" si="8"/>
        <v>#DIV/0!</v>
      </c>
      <c r="X46" s="7" t="e">
        <f t="shared" si="7"/>
        <v>#DIV/0!</v>
      </c>
    </row>
    <row r="47" spans="1:24" ht="30" customHeight="1">
      <c r="A47" s="2" t="s">
        <v>48</v>
      </c>
      <c r="B47" s="2" t="s">
        <v>67</v>
      </c>
      <c r="C47" s="2" t="s">
        <v>68</v>
      </c>
      <c r="D47" s="2" t="s">
        <v>33</v>
      </c>
      <c r="E47" s="5">
        <v>36.514000000000003</v>
      </c>
      <c r="F47" s="5">
        <v>36.488999999999997</v>
      </c>
      <c r="G47" s="5">
        <f t="shared" si="0"/>
        <v>36.5015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4">
        <f t="shared" si="9"/>
        <v>0</v>
      </c>
      <c r="S47" s="6" t="e">
        <f t="shared" si="10"/>
        <v>#DIV/0!</v>
      </c>
      <c r="T47" s="2" t="e">
        <f t="shared" si="11"/>
        <v>#DIV/0!</v>
      </c>
      <c r="U47" s="7" t="e">
        <f t="shared" si="12"/>
        <v>#DIV/0!</v>
      </c>
      <c r="V47" s="7" t="e">
        <f t="shared" si="13"/>
        <v>#DIV/0!</v>
      </c>
      <c r="W47" s="7" t="e">
        <f t="shared" si="8"/>
        <v>#DIV/0!</v>
      </c>
      <c r="X47" s="7" t="e">
        <f t="shared" si="7"/>
        <v>#DIV/0!</v>
      </c>
    </row>
    <row r="48" spans="1:24" ht="30" customHeight="1">
      <c r="A48" s="2" t="s">
        <v>48</v>
      </c>
      <c r="B48" s="2" t="s">
        <v>67</v>
      </c>
      <c r="C48" s="2" t="s">
        <v>69</v>
      </c>
      <c r="D48" s="2" t="s">
        <v>33</v>
      </c>
      <c r="E48" s="5">
        <v>36.514000000000003</v>
      </c>
      <c r="F48" s="5">
        <v>36.488999999999997</v>
      </c>
      <c r="G48" s="5">
        <f t="shared" si="0"/>
        <v>36.5015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4">
        <f t="shared" si="9"/>
        <v>0</v>
      </c>
      <c r="S48" s="6" t="e">
        <f t="shared" si="10"/>
        <v>#DIV/0!</v>
      </c>
      <c r="T48" s="2" t="e">
        <f t="shared" si="11"/>
        <v>#DIV/0!</v>
      </c>
      <c r="U48" s="7" t="e">
        <f t="shared" si="12"/>
        <v>#DIV/0!</v>
      </c>
      <c r="V48" s="7" t="e">
        <f t="shared" si="13"/>
        <v>#DIV/0!</v>
      </c>
      <c r="W48" s="7" t="e">
        <f t="shared" si="8"/>
        <v>#DIV/0!</v>
      </c>
      <c r="X48" s="7" t="e">
        <f t="shared" si="7"/>
        <v>#DIV/0!</v>
      </c>
    </row>
    <row r="49" spans="1:24" ht="30" customHeight="1">
      <c r="A49" s="2" t="s">
        <v>48</v>
      </c>
      <c r="B49" s="2" t="s">
        <v>67</v>
      </c>
      <c r="C49" s="2" t="s">
        <v>70</v>
      </c>
      <c r="D49" s="2" t="s">
        <v>52</v>
      </c>
      <c r="E49" s="5">
        <v>54.933999999999997</v>
      </c>
      <c r="F49" s="5">
        <v>54.953000000000003</v>
      </c>
      <c r="G49" s="5">
        <f t="shared" si="0"/>
        <v>54.9435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4">
        <f t="shared" si="9"/>
        <v>0</v>
      </c>
      <c r="S49" s="6" t="e">
        <f t="shared" si="10"/>
        <v>#DIV/0!</v>
      </c>
      <c r="T49" s="2" t="e">
        <f t="shared" si="11"/>
        <v>#DIV/0!</v>
      </c>
      <c r="U49" s="7" t="e">
        <f t="shared" si="12"/>
        <v>#DIV/0!</v>
      </c>
      <c r="V49" s="7" t="e">
        <f t="shared" si="13"/>
        <v>#DIV/0!</v>
      </c>
      <c r="W49" s="7" t="e">
        <f t="shared" si="8"/>
        <v>#DIV/0!</v>
      </c>
      <c r="X49" s="7" t="e">
        <f t="shared" si="7"/>
        <v>#DIV/0!</v>
      </c>
    </row>
    <row r="50" spans="1:24" ht="30" customHeight="1">
      <c r="A50" s="2" t="s">
        <v>48</v>
      </c>
      <c r="B50" s="2" t="s">
        <v>71</v>
      </c>
      <c r="C50" s="2" t="s">
        <v>72</v>
      </c>
      <c r="D50" s="2" t="s">
        <v>65</v>
      </c>
      <c r="E50" s="5">
        <v>9.9600000000000009</v>
      </c>
      <c r="F50" s="5">
        <v>9.94</v>
      </c>
      <c r="G50" s="5">
        <f t="shared" si="0"/>
        <v>9.9499999999999993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4">
        <f t="shared" si="9"/>
        <v>0</v>
      </c>
      <c r="S50" s="6" t="e">
        <f t="shared" si="10"/>
        <v>#DIV/0!</v>
      </c>
      <c r="T50" s="2" t="e">
        <f t="shared" si="11"/>
        <v>#DIV/0!</v>
      </c>
      <c r="U50" s="7" t="e">
        <f t="shared" si="12"/>
        <v>#DIV/0!</v>
      </c>
      <c r="V50" s="7" t="e">
        <f t="shared" si="13"/>
        <v>#DIV/0!</v>
      </c>
      <c r="W50" s="7" t="e">
        <f t="shared" si="8"/>
        <v>#DIV/0!</v>
      </c>
      <c r="X50" s="7" t="e">
        <f t="shared" si="7"/>
        <v>#DIV/0!</v>
      </c>
    </row>
    <row r="51" spans="1:24" ht="30" customHeight="1">
      <c r="A51" s="2" t="s">
        <v>48</v>
      </c>
      <c r="B51" s="2" t="s">
        <v>71</v>
      </c>
      <c r="C51" s="2" t="s">
        <v>72</v>
      </c>
      <c r="D51" s="2" t="s">
        <v>52</v>
      </c>
      <c r="E51" s="4">
        <v>29.966999999999999</v>
      </c>
      <c r="F51" s="4">
        <v>29.954999999999998</v>
      </c>
      <c r="G51" s="5">
        <f t="shared" si="0"/>
        <v>29.960999999999999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4">
        <f t="shared" si="9"/>
        <v>0</v>
      </c>
      <c r="S51" s="6" t="e">
        <f t="shared" si="10"/>
        <v>#DIV/0!</v>
      </c>
      <c r="T51" s="2" t="e">
        <f t="shared" si="11"/>
        <v>#DIV/0!</v>
      </c>
      <c r="U51" s="7" t="e">
        <f t="shared" si="12"/>
        <v>#DIV/0!</v>
      </c>
      <c r="V51" s="7" t="e">
        <f t="shared" si="13"/>
        <v>#DIV/0!</v>
      </c>
      <c r="W51" s="7" t="e">
        <f t="shared" si="8"/>
        <v>#DIV/0!</v>
      </c>
      <c r="X51" s="7" t="e">
        <f t="shared" si="7"/>
        <v>#DIV/0!</v>
      </c>
    </row>
    <row r="52" spans="1:24" ht="30" customHeight="1">
      <c r="A52" s="2" t="s">
        <v>48</v>
      </c>
      <c r="B52" s="2" t="s">
        <v>73</v>
      </c>
      <c r="C52" s="2" t="s">
        <v>74</v>
      </c>
      <c r="D52" s="2" t="s">
        <v>52</v>
      </c>
      <c r="E52" s="5">
        <v>29.97</v>
      </c>
      <c r="F52" s="5">
        <v>29.95</v>
      </c>
      <c r="G52" s="5">
        <f t="shared" si="0"/>
        <v>29.96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4">
        <f t="shared" si="9"/>
        <v>0</v>
      </c>
      <c r="S52" s="6" t="e">
        <f t="shared" si="10"/>
        <v>#DIV/0!</v>
      </c>
      <c r="T52" s="2" t="e">
        <f t="shared" si="11"/>
        <v>#DIV/0!</v>
      </c>
      <c r="U52" s="7" t="e">
        <f t="shared" si="12"/>
        <v>#DIV/0!</v>
      </c>
      <c r="V52" s="7" t="e">
        <f t="shared" si="13"/>
        <v>#DIV/0!</v>
      </c>
      <c r="W52" s="7" t="e">
        <f t="shared" si="8"/>
        <v>#DIV/0!</v>
      </c>
      <c r="X52" s="7" t="e">
        <f t="shared" si="7"/>
        <v>#DIV/0!</v>
      </c>
    </row>
    <row r="53" spans="1:24" ht="30" customHeight="1">
      <c r="A53" s="2" t="s">
        <v>48</v>
      </c>
      <c r="B53" s="2" t="s">
        <v>73</v>
      </c>
      <c r="C53" s="2" t="s">
        <v>74</v>
      </c>
      <c r="D53" s="2" t="s">
        <v>33</v>
      </c>
      <c r="E53" s="5">
        <v>36.514000000000003</v>
      </c>
      <c r="F53" s="5">
        <v>36.488999999999997</v>
      </c>
      <c r="G53" s="5">
        <f t="shared" si="0"/>
        <v>36.5015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4">
        <f t="shared" si="9"/>
        <v>0</v>
      </c>
      <c r="S53" s="6" t="e">
        <f t="shared" si="10"/>
        <v>#DIV/0!</v>
      </c>
      <c r="T53" s="2" t="e">
        <f t="shared" si="11"/>
        <v>#DIV/0!</v>
      </c>
      <c r="U53" s="7" t="e">
        <f t="shared" si="12"/>
        <v>#DIV/0!</v>
      </c>
      <c r="V53" s="7" t="e">
        <f t="shared" si="13"/>
        <v>#DIV/0!</v>
      </c>
      <c r="W53" s="7" t="e">
        <f t="shared" si="8"/>
        <v>#DIV/0!</v>
      </c>
      <c r="X53" s="7" t="e">
        <f t="shared" si="7"/>
        <v>#DIV/0!</v>
      </c>
    </row>
    <row r="54" spans="1:24" ht="30" customHeight="1">
      <c r="A54" s="2" t="s">
        <v>48</v>
      </c>
      <c r="B54" s="2" t="s">
        <v>73</v>
      </c>
      <c r="C54" s="2" t="s">
        <v>74</v>
      </c>
      <c r="D54" s="2" t="s">
        <v>55</v>
      </c>
      <c r="E54" s="5">
        <v>83.947999999999993</v>
      </c>
      <c r="F54" s="5">
        <v>83.9</v>
      </c>
      <c r="G54" s="5">
        <f t="shared" si="0"/>
        <v>83.924000000000007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4">
        <f t="shared" si="9"/>
        <v>0</v>
      </c>
      <c r="S54" s="6" t="e">
        <f t="shared" si="10"/>
        <v>#DIV/0!</v>
      </c>
      <c r="T54" s="2" t="e">
        <f t="shared" si="11"/>
        <v>#DIV/0!</v>
      </c>
      <c r="U54" s="7" t="e">
        <f t="shared" si="12"/>
        <v>#DIV/0!</v>
      </c>
      <c r="V54" s="7" t="e">
        <f t="shared" si="13"/>
        <v>#DIV/0!</v>
      </c>
      <c r="W54" s="7" t="e">
        <f t="shared" si="8"/>
        <v>#DIV/0!</v>
      </c>
      <c r="X54" s="7" t="e">
        <f t="shared" si="7"/>
        <v>#DIV/0!</v>
      </c>
    </row>
    <row r="55" spans="1:24" ht="30" customHeight="1">
      <c r="A55" s="2" t="s">
        <v>48</v>
      </c>
      <c r="B55" s="2" t="s">
        <v>75</v>
      </c>
      <c r="C55" s="2"/>
      <c r="D55" s="2" t="s">
        <v>33</v>
      </c>
      <c r="E55" s="5">
        <v>29.952000000000002</v>
      </c>
      <c r="F55" s="5">
        <v>29.936</v>
      </c>
      <c r="G55" s="5">
        <f t="shared" si="0"/>
        <v>29.944000000000003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4">
        <f t="shared" si="9"/>
        <v>0</v>
      </c>
      <c r="S55" s="6" t="e">
        <f t="shared" si="10"/>
        <v>#DIV/0!</v>
      </c>
      <c r="T55" s="2" t="e">
        <f t="shared" si="11"/>
        <v>#DIV/0!</v>
      </c>
      <c r="U55" s="7" t="e">
        <f t="shared" si="12"/>
        <v>#DIV/0!</v>
      </c>
      <c r="V55" s="7" t="e">
        <f t="shared" si="13"/>
        <v>#DIV/0!</v>
      </c>
      <c r="W55" s="7" t="e">
        <f t="shared" si="8"/>
        <v>#DIV/0!</v>
      </c>
      <c r="X55" s="7" t="e">
        <f>MIN(V55:W55)</f>
        <v>#DIV/0!</v>
      </c>
    </row>
    <row r="56" spans="1:24" ht="30" customHeight="1">
      <c r="A56" s="2" t="s">
        <v>48</v>
      </c>
      <c r="B56" s="2" t="s">
        <v>75</v>
      </c>
      <c r="C56" s="2"/>
      <c r="D56" s="2" t="s">
        <v>52</v>
      </c>
      <c r="E56" s="5">
        <v>41.965000000000003</v>
      </c>
      <c r="F56" s="5">
        <v>41.948</v>
      </c>
      <c r="G56" s="5">
        <f t="shared" si="0"/>
        <v>41.956500000000005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4">
        <f t="shared" si="9"/>
        <v>0</v>
      </c>
      <c r="S56" s="6" t="e">
        <f t="shared" si="10"/>
        <v>#DIV/0!</v>
      </c>
      <c r="T56" s="2" t="e">
        <f t="shared" si="11"/>
        <v>#DIV/0!</v>
      </c>
      <c r="U56" s="7" t="e">
        <f t="shared" si="12"/>
        <v>#DIV/0!</v>
      </c>
      <c r="V56" s="7" t="e">
        <f t="shared" si="13"/>
        <v>#DIV/0!</v>
      </c>
      <c r="W56" s="7" t="e">
        <f t="shared" si="8"/>
        <v>#DIV/0!</v>
      </c>
      <c r="X56" s="7" t="e">
        <f>MIN(V56:W56)</f>
        <v>#DIV/0!</v>
      </c>
    </row>
    <row r="57" spans="1:24" ht="30" customHeight="1">
      <c r="A57" s="2" t="s">
        <v>48</v>
      </c>
      <c r="B57" s="2" t="s">
        <v>76</v>
      </c>
      <c r="C57" s="2" t="s">
        <v>77</v>
      </c>
      <c r="D57" s="2" t="s">
        <v>52</v>
      </c>
      <c r="E57" s="5">
        <v>29.97</v>
      </c>
      <c r="F57" s="5">
        <v>29.954999999999998</v>
      </c>
      <c r="G57" s="5">
        <f t="shared" si="0"/>
        <v>29.962499999999999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4">
        <f t="shared" si="9"/>
        <v>0</v>
      </c>
      <c r="S57" s="6" t="e">
        <f t="shared" si="10"/>
        <v>#DIV/0!</v>
      </c>
      <c r="T57" s="2" t="e">
        <f t="shared" si="11"/>
        <v>#DIV/0!</v>
      </c>
      <c r="U57" s="7" t="e">
        <f t="shared" si="12"/>
        <v>#DIV/0!</v>
      </c>
      <c r="V57" s="7" t="e">
        <f t="shared" si="13"/>
        <v>#DIV/0!</v>
      </c>
      <c r="W57" s="7" t="e">
        <f t="shared" si="8"/>
        <v>#DIV/0!</v>
      </c>
      <c r="X57" s="7" t="e">
        <f>MIN(V57:W57)</f>
        <v>#DIV/0!</v>
      </c>
    </row>
    <row r="58" spans="1:24" ht="30" customHeight="1">
      <c r="A58" s="2" t="s">
        <v>48</v>
      </c>
      <c r="B58" s="2" t="s">
        <v>76</v>
      </c>
      <c r="C58" s="2" t="s">
        <v>78</v>
      </c>
      <c r="D58" s="2" t="s">
        <v>33</v>
      </c>
      <c r="E58" s="5">
        <v>36.473999999999997</v>
      </c>
      <c r="F58" s="5">
        <v>36.448999999999998</v>
      </c>
      <c r="G58" s="5">
        <f t="shared" si="0"/>
        <v>36.461500000000001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4">
        <f t="shared" si="9"/>
        <v>0</v>
      </c>
      <c r="S58" s="6" t="e">
        <f t="shared" si="10"/>
        <v>#DIV/0!</v>
      </c>
      <c r="T58" s="2" t="e">
        <f t="shared" si="11"/>
        <v>#DIV/0!</v>
      </c>
      <c r="U58" s="7" t="e">
        <f t="shared" si="12"/>
        <v>#DIV/0!</v>
      </c>
      <c r="V58" s="7" t="e">
        <f t="shared" si="13"/>
        <v>#DIV/0!</v>
      </c>
      <c r="W58" s="7" t="e">
        <f t="shared" si="8"/>
        <v>#DIV/0!</v>
      </c>
      <c r="X58" s="7" t="e">
        <f>MIN(V58:W58)</f>
        <v>#DIV/0!</v>
      </c>
    </row>
    <row r="59" spans="1:24" ht="30" customHeight="1">
      <c r="A59" s="2" t="s">
        <v>79</v>
      </c>
      <c r="B59" s="2" t="s">
        <v>80</v>
      </c>
      <c r="C59" s="2"/>
      <c r="D59" s="2" t="s">
        <v>34</v>
      </c>
      <c r="E59" s="5">
        <v>75.010000000000005</v>
      </c>
      <c r="F59" s="5">
        <v>74.95</v>
      </c>
      <c r="G59" s="5">
        <f t="shared" si="0"/>
        <v>74.98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4">
        <f t="shared" si="9"/>
        <v>0</v>
      </c>
      <c r="S59" s="6" t="e">
        <f t="shared" si="10"/>
        <v>#DIV/0!</v>
      </c>
      <c r="T59" s="2" t="e">
        <f t="shared" si="11"/>
        <v>#DIV/0!</v>
      </c>
      <c r="U59" s="7" t="e">
        <f t="shared" si="12"/>
        <v>#DIV/0!</v>
      </c>
      <c r="V59" s="7" t="e">
        <f t="shared" si="13"/>
        <v>#DIV/0!</v>
      </c>
      <c r="W59" s="7" t="e">
        <f t="shared" si="8"/>
        <v>#DIV/0!</v>
      </c>
      <c r="X59" s="7" t="e">
        <f t="shared" si="7"/>
        <v>#DIV/0!</v>
      </c>
    </row>
    <row r="60" spans="1:24" ht="30" customHeight="1">
      <c r="A60" s="2" t="s">
        <v>79</v>
      </c>
      <c r="B60" s="2" t="s">
        <v>80</v>
      </c>
      <c r="C60" s="2"/>
      <c r="D60" s="2" t="s">
        <v>81</v>
      </c>
      <c r="E60" s="5">
        <v>77.02</v>
      </c>
      <c r="F60" s="5">
        <v>77</v>
      </c>
      <c r="G60" s="5">
        <f t="shared" si="0"/>
        <v>77.009999999999991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4">
        <f t="shared" si="9"/>
        <v>0</v>
      </c>
      <c r="S60" s="6" t="e">
        <f t="shared" si="10"/>
        <v>#DIV/0!</v>
      </c>
      <c r="T60" s="2" t="e">
        <f t="shared" si="11"/>
        <v>#DIV/0!</v>
      </c>
      <c r="U60" s="7" t="e">
        <f t="shared" si="12"/>
        <v>#DIV/0!</v>
      </c>
      <c r="V60" s="7" t="e">
        <f t="shared" si="13"/>
        <v>#DIV/0!</v>
      </c>
      <c r="W60" s="7" t="e">
        <f t="shared" si="8"/>
        <v>#DIV/0!</v>
      </c>
      <c r="X60" s="7" t="e">
        <f t="shared" si="7"/>
        <v>#DIV/0!</v>
      </c>
    </row>
    <row r="61" spans="1:24" ht="30" customHeight="1">
      <c r="A61" s="2" t="s">
        <v>79</v>
      </c>
      <c r="B61" s="2" t="s">
        <v>80</v>
      </c>
      <c r="C61" s="2"/>
      <c r="D61" s="2" t="s">
        <v>82</v>
      </c>
      <c r="E61" s="5">
        <v>81.974999999999994</v>
      </c>
      <c r="F61" s="5">
        <v>81.965999999999994</v>
      </c>
      <c r="G61" s="5">
        <f t="shared" si="0"/>
        <v>81.970499999999987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4">
        <f t="shared" si="9"/>
        <v>0</v>
      </c>
      <c r="S61" s="6" t="e">
        <f t="shared" si="10"/>
        <v>#DIV/0!</v>
      </c>
      <c r="T61" s="2" t="e">
        <f t="shared" si="11"/>
        <v>#DIV/0!</v>
      </c>
      <c r="U61" s="7" t="e">
        <f t="shared" si="12"/>
        <v>#DIV/0!</v>
      </c>
      <c r="V61" s="7" t="e">
        <f t="shared" si="13"/>
        <v>#DIV/0!</v>
      </c>
      <c r="W61" s="7" t="e">
        <f t="shared" si="8"/>
        <v>#DIV/0!</v>
      </c>
      <c r="X61" s="7" t="e">
        <f t="shared" si="7"/>
        <v>#DIV/0!</v>
      </c>
    </row>
    <row r="62" spans="1:24" ht="30" customHeight="1">
      <c r="A62" s="2" t="s">
        <v>79</v>
      </c>
      <c r="B62" s="2" t="s">
        <v>80</v>
      </c>
      <c r="C62" s="2"/>
      <c r="D62" s="2" t="s">
        <v>83</v>
      </c>
      <c r="E62" s="5">
        <v>22.02</v>
      </c>
      <c r="F62" s="5">
        <v>21.99</v>
      </c>
      <c r="G62" s="5">
        <f t="shared" si="0"/>
        <v>22.004999999999999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4">
        <f t="shared" si="9"/>
        <v>0</v>
      </c>
      <c r="S62" s="6" t="e">
        <f t="shared" si="10"/>
        <v>#DIV/0!</v>
      </c>
      <c r="T62" s="2" t="e">
        <f t="shared" si="11"/>
        <v>#DIV/0!</v>
      </c>
      <c r="U62" s="7" t="e">
        <f t="shared" si="12"/>
        <v>#DIV/0!</v>
      </c>
      <c r="V62" s="7" t="e">
        <f t="shared" si="13"/>
        <v>#DIV/0!</v>
      </c>
      <c r="W62" s="7" t="e">
        <f t="shared" si="8"/>
        <v>#DIV/0!</v>
      </c>
      <c r="X62" s="7" t="e">
        <f t="shared" si="7"/>
        <v>#DIV/0!</v>
      </c>
    </row>
    <row r="63" spans="1:24" ht="30" customHeight="1">
      <c r="A63" s="2" t="s">
        <v>79</v>
      </c>
      <c r="B63" s="2" t="s">
        <v>80</v>
      </c>
      <c r="C63" s="2"/>
      <c r="D63" s="2" t="s">
        <v>84</v>
      </c>
      <c r="E63" s="5">
        <v>26.46</v>
      </c>
      <c r="F63" s="5">
        <v>26.434999999999999</v>
      </c>
      <c r="G63" s="5">
        <f t="shared" si="0"/>
        <v>26.447499999999998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4">
        <f t="shared" si="9"/>
        <v>0</v>
      </c>
      <c r="S63" s="6" t="e">
        <f t="shared" si="10"/>
        <v>#DIV/0!</v>
      </c>
      <c r="T63" s="2" t="e">
        <f t="shared" si="11"/>
        <v>#DIV/0!</v>
      </c>
      <c r="U63" s="7" t="e">
        <f t="shared" si="12"/>
        <v>#DIV/0!</v>
      </c>
      <c r="V63" s="7" t="e">
        <f t="shared" si="13"/>
        <v>#DIV/0!</v>
      </c>
      <c r="W63" s="7" t="e">
        <f t="shared" si="8"/>
        <v>#DIV/0!</v>
      </c>
      <c r="X63" s="7" t="e">
        <f t="shared" si="7"/>
        <v>#DIV/0!</v>
      </c>
    </row>
    <row r="64" spans="1:24" ht="30" customHeight="1">
      <c r="A64" s="2" t="s">
        <v>79</v>
      </c>
      <c r="B64" s="2" t="s">
        <v>85</v>
      </c>
      <c r="C64" s="2" t="s">
        <v>86</v>
      </c>
      <c r="D64" s="2" t="s">
        <v>34</v>
      </c>
      <c r="E64" s="5">
        <v>132.626</v>
      </c>
      <c r="F64" s="5">
        <v>132.55000000000001</v>
      </c>
      <c r="G64" s="5">
        <f t="shared" si="0"/>
        <v>132.58800000000002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4">
        <f t="shared" si="9"/>
        <v>0</v>
      </c>
      <c r="S64" s="6" t="e">
        <f t="shared" si="10"/>
        <v>#DIV/0!</v>
      </c>
      <c r="T64" s="2" t="e">
        <f t="shared" si="11"/>
        <v>#DIV/0!</v>
      </c>
      <c r="U64" s="7" t="e">
        <f t="shared" si="12"/>
        <v>#DIV/0!</v>
      </c>
      <c r="V64" s="7" t="e">
        <f t="shared" si="13"/>
        <v>#DIV/0!</v>
      </c>
      <c r="W64" s="7" t="e">
        <f t="shared" si="8"/>
        <v>#DIV/0!</v>
      </c>
      <c r="X64" s="7" t="e">
        <f>MIN(V64:W64)</f>
        <v>#DIV/0!</v>
      </c>
    </row>
    <row r="65" spans="1:24" ht="30" customHeight="1">
      <c r="A65" s="2" t="s">
        <v>79</v>
      </c>
      <c r="B65" s="2" t="s">
        <v>85</v>
      </c>
      <c r="C65" s="2" t="s">
        <v>86</v>
      </c>
      <c r="D65" s="2" t="s">
        <v>87</v>
      </c>
      <c r="E65" s="5">
        <v>31.6</v>
      </c>
      <c r="F65" s="5">
        <v>31.55</v>
      </c>
      <c r="G65" s="5">
        <f t="shared" si="0"/>
        <v>31.575000000000003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4">
        <f t="shared" si="9"/>
        <v>0</v>
      </c>
      <c r="S65" s="6" t="e">
        <f t="shared" si="10"/>
        <v>#DIV/0!</v>
      </c>
      <c r="T65" s="2" t="e">
        <f t="shared" si="11"/>
        <v>#DIV/0!</v>
      </c>
      <c r="U65" s="7" t="e">
        <f t="shared" si="12"/>
        <v>#DIV/0!</v>
      </c>
      <c r="V65" s="7" t="e">
        <f t="shared" si="13"/>
        <v>#DIV/0!</v>
      </c>
      <c r="W65" s="7" t="e">
        <f t="shared" si="8"/>
        <v>#DIV/0!</v>
      </c>
      <c r="X65" s="7" t="e">
        <f>MIN(V65:W65)</f>
        <v>#DIV/0!</v>
      </c>
    </row>
    <row r="66" spans="1:24" ht="30" customHeight="1">
      <c r="A66" s="2" t="s">
        <v>79</v>
      </c>
      <c r="B66" s="2" t="s">
        <v>85</v>
      </c>
      <c r="C66" s="2" t="s">
        <v>88</v>
      </c>
      <c r="D66" s="2" t="s">
        <v>33</v>
      </c>
      <c r="E66" s="5">
        <v>101.714</v>
      </c>
      <c r="F66" s="5">
        <v>101.63800000000001</v>
      </c>
      <c r="G66" s="5">
        <f t="shared" si="0"/>
        <v>101.676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4">
        <f t="shared" si="9"/>
        <v>0</v>
      </c>
      <c r="S66" s="6" t="e">
        <f t="shared" si="10"/>
        <v>#DIV/0!</v>
      </c>
      <c r="T66" s="2" t="e">
        <f t="shared" si="11"/>
        <v>#DIV/0!</v>
      </c>
      <c r="U66" s="7" t="e">
        <f t="shared" si="12"/>
        <v>#DIV/0!</v>
      </c>
      <c r="V66" s="7" t="e">
        <f t="shared" si="13"/>
        <v>#DIV/0!</v>
      </c>
      <c r="W66" s="7" t="e">
        <f t="shared" si="8"/>
        <v>#DIV/0!</v>
      </c>
      <c r="X66" s="7" t="e">
        <f>MIN(V66:W66)</f>
        <v>#DIV/0!</v>
      </c>
    </row>
    <row r="67" spans="1:24" ht="30" customHeight="1">
      <c r="A67" s="2" t="s">
        <v>30</v>
      </c>
      <c r="B67" s="2" t="s">
        <v>89</v>
      </c>
      <c r="C67" s="2" t="s">
        <v>90</v>
      </c>
      <c r="D67" s="2" t="s">
        <v>34</v>
      </c>
      <c r="E67" s="4">
        <v>82.855000000000004</v>
      </c>
      <c r="F67" s="5">
        <v>82.82</v>
      </c>
      <c r="G67" s="5">
        <f t="shared" si="0"/>
        <v>82.837500000000006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4">
        <f t="shared" si="9"/>
        <v>0</v>
      </c>
      <c r="S67" s="6" t="e">
        <f t="shared" si="10"/>
        <v>#DIV/0!</v>
      </c>
      <c r="T67" s="2" t="e">
        <f t="shared" si="11"/>
        <v>#DIV/0!</v>
      </c>
      <c r="U67" s="7" t="e">
        <f t="shared" si="12"/>
        <v>#DIV/0!</v>
      </c>
      <c r="V67" s="7" t="e">
        <f t="shared" si="13"/>
        <v>#DIV/0!</v>
      </c>
      <c r="W67" s="7" t="e">
        <f t="shared" si="8"/>
        <v>#DIV/0!</v>
      </c>
      <c r="X67" s="7" t="e">
        <f t="shared" si="7"/>
        <v>#DIV/0!</v>
      </c>
    </row>
    <row r="68" spans="1:24" ht="30" customHeight="1">
      <c r="A68" s="2" t="s">
        <v>30</v>
      </c>
      <c r="B68" s="2" t="s">
        <v>89</v>
      </c>
      <c r="C68" s="2" t="s">
        <v>90</v>
      </c>
      <c r="D68" s="2" t="s">
        <v>65</v>
      </c>
      <c r="E68" s="4">
        <v>10.015000000000001</v>
      </c>
      <c r="F68" s="5">
        <v>10</v>
      </c>
      <c r="G68" s="5">
        <f t="shared" si="0"/>
        <v>10.0075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4">
        <f t="shared" si="9"/>
        <v>0</v>
      </c>
      <c r="S68" s="6" t="e">
        <f t="shared" si="10"/>
        <v>#DIV/0!</v>
      </c>
      <c r="T68" s="2" t="e">
        <f t="shared" si="11"/>
        <v>#DIV/0!</v>
      </c>
      <c r="U68" s="7" t="e">
        <f t="shared" si="12"/>
        <v>#DIV/0!</v>
      </c>
      <c r="V68" s="7" t="e">
        <f t="shared" si="13"/>
        <v>#DIV/0!</v>
      </c>
      <c r="W68" s="7" t="e">
        <f t="shared" si="8"/>
        <v>#DIV/0!</v>
      </c>
      <c r="X68" s="7" t="e">
        <f t="shared" si="7"/>
        <v>#DIV/0!</v>
      </c>
    </row>
    <row r="69" spans="1:24" ht="30" customHeight="1">
      <c r="A69" s="2" t="s">
        <v>30</v>
      </c>
      <c r="B69" s="2" t="s">
        <v>89</v>
      </c>
      <c r="C69" s="2" t="s">
        <v>91</v>
      </c>
      <c r="D69" s="2" t="s">
        <v>39</v>
      </c>
      <c r="E69" s="5">
        <v>28.05</v>
      </c>
      <c r="F69" s="5">
        <v>27.95</v>
      </c>
      <c r="G69" s="5">
        <f t="shared" si="0"/>
        <v>28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4">
        <f t="shared" si="9"/>
        <v>0</v>
      </c>
      <c r="S69" s="6" t="e">
        <f t="shared" si="10"/>
        <v>#DIV/0!</v>
      </c>
      <c r="T69" s="2" t="e">
        <f t="shared" si="11"/>
        <v>#DIV/0!</v>
      </c>
      <c r="U69" s="7" t="e">
        <f t="shared" si="12"/>
        <v>#DIV/0!</v>
      </c>
      <c r="V69" s="7" t="e">
        <f t="shared" si="13"/>
        <v>#DIV/0!</v>
      </c>
      <c r="W69" s="7" t="e">
        <f t="shared" si="8"/>
        <v>#DIV/0!</v>
      </c>
      <c r="X69" s="7" t="e">
        <f t="shared" si="7"/>
        <v>#DIV/0!</v>
      </c>
    </row>
    <row r="70" spans="1:24" ht="30" customHeight="1">
      <c r="A70" s="2" t="s">
        <v>30</v>
      </c>
      <c r="B70" s="2" t="s">
        <v>89</v>
      </c>
      <c r="C70" s="2" t="s">
        <v>91</v>
      </c>
      <c r="D70" s="2" t="s">
        <v>33</v>
      </c>
      <c r="E70" s="4">
        <v>19.965</v>
      </c>
      <c r="F70" s="5">
        <v>19.945</v>
      </c>
      <c r="G70" s="5">
        <f t="shared" si="0"/>
        <v>19.954999999999998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4">
        <f t="shared" si="9"/>
        <v>0</v>
      </c>
      <c r="S70" s="6" t="e">
        <f t="shared" si="10"/>
        <v>#DIV/0!</v>
      </c>
      <c r="T70" s="2" t="e">
        <f t="shared" si="11"/>
        <v>#DIV/0!</v>
      </c>
      <c r="U70" s="7" t="e">
        <f t="shared" si="12"/>
        <v>#DIV/0!</v>
      </c>
      <c r="V70" s="7" t="e">
        <f t="shared" si="13"/>
        <v>#DIV/0!</v>
      </c>
      <c r="W70" s="7" t="e">
        <f t="shared" si="8"/>
        <v>#DIV/0!</v>
      </c>
      <c r="X70" s="7" t="e">
        <f t="shared" si="7"/>
        <v>#DIV/0!</v>
      </c>
    </row>
    <row r="71" spans="1:24" ht="30" customHeight="1">
      <c r="A71" s="2" t="s">
        <v>30</v>
      </c>
      <c r="B71" s="2" t="s">
        <v>89</v>
      </c>
      <c r="C71" s="2" t="s">
        <v>70</v>
      </c>
      <c r="D71" s="2" t="s">
        <v>92</v>
      </c>
      <c r="E71" s="4">
        <v>31.475000000000001</v>
      </c>
      <c r="F71" s="4">
        <v>31.445</v>
      </c>
      <c r="G71" s="5">
        <f t="shared" si="0"/>
        <v>31.46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4">
        <f t="shared" si="9"/>
        <v>0</v>
      </c>
      <c r="S71" s="6" t="e">
        <f t="shared" si="10"/>
        <v>#DIV/0!</v>
      </c>
      <c r="T71" s="2" t="e">
        <f t="shared" si="11"/>
        <v>#DIV/0!</v>
      </c>
      <c r="U71" s="7" t="e">
        <f t="shared" si="12"/>
        <v>#DIV/0!</v>
      </c>
      <c r="V71" s="7" t="e">
        <f t="shared" si="13"/>
        <v>#DIV/0!</v>
      </c>
      <c r="W71" s="7" t="e">
        <f t="shared" si="8"/>
        <v>#DIV/0!</v>
      </c>
      <c r="X71" s="7" t="e">
        <f t="shared" si="7"/>
        <v>#DIV/0!</v>
      </c>
    </row>
    <row r="72" spans="1:24" ht="30" customHeight="1">
      <c r="A72" s="2" t="s">
        <v>93</v>
      </c>
      <c r="B72" s="2" t="s">
        <v>94</v>
      </c>
      <c r="C72" s="2"/>
      <c r="D72" s="2" t="s">
        <v>95</v>
      </c>
      <c r="E72" s="5">
        <v>17.37</v>
      </c>
      <c r="F72" s="5">
        <v>17.350000000000001</v>
      </c>
      <c r="G72" s="5">
        <f t="shared" si="0"/>
        <v>17.36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4">
        <f t="shared" si="9"/>
        <v>0</v>
      </c>
      <c r="S72" s="6" t="e">
        <f t="shared" si="10"/>
        <v>#DIV/0!</v>
      </c>
      <c r="T72" s="2" t="e">
        <f t="shared" si="11"/>
        <v>#DIV/0!</v>
      </c>
      <c r="U72" s="7" t="e">
        <f t="shared" si="12"/>
        <v>#DIV/0!</v>
      </c>
      <c r="V72" s="7" t="e">
        <f t="shared" si="13"/>
        <v>#DIV/0!</v>
      </c>
      <c r="W72" s="7" t="e">
        <f t="shared" si="8"/>
        <v>#DIV/0!</v>
      </c>
      <c r="X72" s="7" t="e">
        <f>MIN(V72:W72)</f>
        <v>#DIV/0!</v>
      </c>
    </row>
    <row r="73" spans="1:24" ht="30" customHeight="1">
      <c r="A73" s="2" t="s">
        <v>93</v>
      </c>
      <c r="B73" s="2" t="s">
        <v>96</v>
      </c>
      <c r="C73" s="2"/>
      <c r="D73" s="2" t="s">
        <v>92</v>
      </c>
      <c r="E73" s="5">
        <v>32.299999999999997</v>
      </c>
      <c r="F73" s="5">
        <v>32.25</v>
      </c>
      <c r="G73" s="5">
        <f t="shared" ref="G73" si="14">(E73+F73)/2</f>
        <v>32.274999999999999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4">
        <f t="shared" ref="R73" si="15">COUNT(H73:Q73)</f>
        <v>0</v>
      </c>
      <c r="S73" s="6" t="e">
        <f t="shared" si="10"/>
        <v>#DIV/0!</v>
      </c>
      <c r="T73" s="2" t="e">
        <f t="shared" si="11"/>
        <v>#DIV/0!</v>
      </c>
      <c r="U73" s="7" t="e">
        <f t="shared" ref="U73" si="16">(E73-F73)/(6*T73)</f>
        <v>#DIV/0!</v>
      </c>
      <c r="V73" s="7" t="e">
        <f t="shared" si="13"/>
        <v>#DIV/0!</v>
      </c>
      <c r="W73" s="7" t="e">
        <f t="shared" si="8"/>
        <v>#DIV/0!</v>
      </c>
      <c r="X73" s="7" t="e">
        <f>MIN(V73:W73)</f>
        <v>#DIV/0!</v>
      </c>
    </row>
  </sheetData>
  <mergeCells count="31">
    <mergeCell ref="A1:D1"/>
    <mergeCell ref="E1:G1"/>
    <mergeCell ref="H1:K1"/>
    <mergeCell ref="L1:Q1"/>
    <mergeCell ref="U4:X4"/>
    <mergeCell ref="H7:H8"/>
    <mergeCell ref="U5:U8"/>
    <mergeCell ref="V5:V8"/>
    <mergeCell ref="W5:W8"/>
    <mergeCell ref="X5:X8"/>
    <mergeCell ref="H6:L6"/>
    <mergeCell ref="M6:Q6"/>
    <mergeCell ref="I7:I8"/>
    <mergeCell ref="J7:J8"/>
    <mergeCell ref="K7:K8"/>
    <mergeCell ref="L7:L8"/>
    <mergeCell ref="H5:L5"/>
    <mergeCell ref="M5:Q5"/>
    <mergeCell ref="R5:R8"/>
    <mergeCell ref="S5:S8"/>
    <mergeCell ref="T5:T8"/>
    <mergeCell ref="A7:A8"/>
    <mergeCell ref="B7:B8"/>
    <mergeCell ref="C7:C8"/>
    <mergeCell ref="D7:D8"/>
    <mergeCell ref="E7:G7"/>
    <mergeCell ref="M7:M8"/>
    <mergeCell ref="N7:N8"/>
    <mergeCell ref="O7:O8"/>
    <mergeCell ref="P7:P8"/>
    <mergeCell ref="Q7:Q8"/>
  </mergeCells>
  <conditionalFormatting sqref="X1:X73">
    <cfRule type="cellIs" dxfId="11" priority="1" stopIfTrue="1" operator="lessThan">
      <formula>1.33</formula>
    </cfRule>
    <cfRule type="cellIs" dxfId="10" priority="2" stopIfTrue="1" operator="greaterThan">
      <formula>1.33</formula>
    </cfRule>
  </conditionalFormatting>
  <printOptions horizontalCentered="1" verticalCentered="1"/>
  <pageMargins left="0.19685039370078741" right="0.19685039370078741" top="0.19685039370078741" bottom="0.19685039370078741" header="0.31496062992125984" footer="0.31496062992125984"/>
  <pageSetup paperSize="8" scale="78"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P78"/>
  <sheetViews>
    <sheetView view="pageBreakPreview" topLeftCell="A13" zoomScale="90" zoomScaleSheetLayoutView="90" workbookViewId="0">
      <pane xSplit="7" topLeftCell="H1" activePane="topRight" state="frozen"/>
      <selection activeCell="A33" sqref="A33"/>
      <selection pane="topRight" activeCell="LP1" sqref="A1:LP1048576"/>
    </sheetView>
  </sheetViews>
  <sheetFormatPr defaultRowHeight="15"/>
  <cols>
    <col min="1" max="1" width="12.7109375" customWidth="1"/>
    <col min="2" max="2" width="15" customWidth="1"/>
    <col min="3" max="3" width="12.42578125" customWidth="1"/>
    <col min="4" max="4" width="19" customWidth="1"/>
    <col min="7" max="7" width="9.140625" customWidth="1"/>
    <col min="8" max="8" width="8.28515625" customWidth="1"/>
    <col min="9" max="9" width="7.7109375" customWidth="1"/>
    <col min="10" max="10" width="8.42578125" customWidth="1"/>
    <col min="11" max="11" width="7.42578125" customWidth="1"/>
    <col min="12" max="12" width="8" customWidth="1"/>
    <col min="13" max="14" width="7.7109375" customWidth="1"/>
    <col min="15" max="15" width="8" customWidth="1"/>
    <col min="16" max="16" width="8.28515625" customWidth="1"/>
    <col min="17" max="17" width="8.42578125" customWidth="1"/>
    <col min="18" max="18" width="7.85546875" customWidth="1"/>
    <col min="19" max="19" width="7.7109375" customWidth="1"/>
    <col min="20" max="20" width="8.7109375" customWidth="1"/>
    <col min="21" max="21" width="8.140625" customWidth="1"/>
    <col min="22" max="22" width="7.42578125" customWidth="1"/>
    <col min="23" max="23" width="8.42578125" customWidth="1"/>
    <col min="24" max="24" width="8" customWidth="1"/>
    <col min="25" max="28" width="8.42578125" customWidth="1"/>
    <col min="29" max="29" width="8.28515625" customWidth="1"/>
    <col min="30" max="30" width="8" customWidth="1"/>
    <col min="31" max="31" width="8.140625" customWidth="1"/>
    <col min="32" max="32" width="8.7109375" customWidth="1"/>
    <col min="33" max="33" width="8.42578125" customWidth="1"/>
    <col min="34" max="34" width="8.7109375" customWidth="1"/>
    <col min="35" max="35" width="7.85546875" customWidth="1"/>
    <col min="36" max="36" width="8.42578125" customWidth="1"/>
    <col min="37" max="37" width="8" customWidth="1"/>
    <col min="38" max="38" width="8.42578125" customWidth="1"/>
    <col min="39" max="39" width="8.28515625" customWidth="1"/>
    <col min="40" max="40" width="8" customWidth="1"/>
    <col min="41" max="41" width="8.140625" customWidth="1"/>
    <col min="42" max="42" width="8.7109375" customWidth="1"/>
    <col min="43" max="43" width="8.42578125" customWidth="1"/>
    <col min="44" max="44" width="8.7109375" customWidth="1"/>
    <col min="45" max="45" width="7.85546875" customWidth="1"/>
    <col min="46" max="46" width="8.42578125" customWidth="1"/>
    <col min="47" max="47" width="7.85546875" customWidth="1"/>
    <col min="48" max="48" width="8.42578125" customWidth="1"/>
    <col min="49" max="49" width="8.28515625" customWidth="1"/>
    <col min="50" max="50" width="8" customWidth="1"/>
    <col min="51" max="51" width="8.140625" customWidth="1"/>
    <col min="52" max="52" width="8.7109375" customWidth="1"/>
    <col min="53" max="53" width="8.42578125" customWidth="1"/>
    <col min="54" max="54" width="8.7109375" customWidth="1"/>
    <col min="55" max="55" width="7.85546875" customWidth="1"/>
    <col min="56" max="56" width="8.42578125" customWidth="1"/>
    <col min="57" max="57" width="7.85546875" customWidth="1"/>
    <col min="58" max="58" width="8.42578125" customWidth="1"/>
    <col min="59" max="59" width="8.28515625" customWidth="1"/>
    <col min="60" max="60" width="8" customWidth="1"/>
    <col min="61" max="61" width="8.140625" customWidth="1"/>
    <col min="62" max="62" width="8.7109375" customWidth="1"/>
    <col min="63" max="63" width="8.42578125" customWidth="1"/>
    <col min="64" max="64" width="8.7109375" customWidth="1"/>
    <col min="65" max="65" width="7.85546875" customWidth="1"/>
    <col min="66" max="66" width="8.42578125" customWidth="1"/>
    <col min="67" max="67" width="7.85546875" customWidth="1"/>
    <col min="68" max="68" width="8.42578125" customWidth="1"/>
    <col min="69" max="69" width="8.28515625" customWidth="1"/>
    <col min="70" max="70" width="8" customWidth="1"/>
    <col min="71" max="71" width="8.140625" customWidth="1"/>
    <col min="72" max="72" width="8.7109375" customWidth="1"/>
    <col min="73" max="73" width="8.42578125" customWidth="1"/>
    <col min="74" max="74" width="8.7109375" customWidth="1"/>
    <col min="75" max="75" width="7.85546875" customWidth="1"/>
    <col min="76" max="76" width="8.42578125" customWidth="1"/>
    <col min="77" max="117" width="7.85546875" customWidth="1"/>
    <col min="118" max="119" width="8.7109375" bestFit="1" customWidth="1"/>
    <col min="120" max="122" width="7.85546875" customWidth="1"/>
    <col min="123" max="123" width="8.7109375" bestFit="1" customWidth="1"/>
    <col min="124" max="215" width="7.85546875" hidden="1" customWidth="1"/>
    <col min="216" max="216" width="8.5703125" customWidth="1"/>
    <col min="217" max="221" width="8.7109375" bestFit="1" customWidth="1"/>
    <col min="222" max="222" width="8.140625" customWidth="1"/>
    <col min="223" max="225" width="8.7109375" bestFit="1" customWidth="1"/>
    <col min="226" max="227" width="9.140625" hidden="1" customWidth="1"/>
    <col min="228" max="229" width="8.7109375" bestFit="1" customWidth="1"/>
    <col min="230" max="234" width="9.140625" customWidth="1"/>
    <col min="461" max="461" width="12.7109375" customWidth="1"/>
    <col min="462" max="462" width="15" customWidth="1"/>
    <col min="463" max="463" width="12.42578125" customWidth="1"/>
    <col min="464" max="464" width="18" customWidth="1"/>
    <col min="468" max="477" width="14.7109375" customWidth="1"/>
    <col min="478" max="478" width="6.7109375" customWidth="1"/>
    <col min="479" max="480" width="0" hidden="1" customWidth="1"/>
    <col min="482" max="483" width="0" hidden="1" customWidth="1"/>
    <col min="717" max="717" width="12.7109375" customWidth="1"/>
    <col min="718" max="718" width="15" customWidth="1"/>
    <col min="719" max="719" width="12.42578125" customWidth="1"/>
    <col min="720" max="720" width="18" customWidth="1"/>
    <col min="724" max="733" width="14.7109375" customWidth="1"/>
    <col min="734" max="734" width="6.7109375" customWidth="1"/>
    <col min="735" max="736" width="0" hidden="1" customWidth="1"/>
    <col min="738" max="739" width="0" hidden="1" customWidth="1"/>
    <col min="973" max="973" width="12.7109375" customWidth="1"/>
    <col min="974" max="974" width="15" customWidth="1"/>
    <col min="975" max="975" width="12.42578125" customWidth="1"/>
    <col min="976" max="976" width="18" customWidth="1"/>
    <col min="980" max="989" width="14.7109375" customWidth="1"/>
    <col min="990" max="990" width="6.7109375" customWidth="1"/>
    <col min="991" max="992" width="0" hidden="1" customWidth="1"/>
    <col min="994" max="995" width="0" hidden="1" customWidth="1"/>
    <col min="1229" max="1229" width="12.7109375" customWidth="1"/>
    <col min="1230" max="1230" width="15" customWidth="1"/>
    <col min="1231" max="1231" width="12.42578125" customWidth="1"/>
    <col min="1232" max="1232" width="18" customWidth="1"/>
    <col min="1236" max="1245" width="14.7109375" customWidth="1"/>
    <col min="1246" max="1246" width="6.7109375" customWidth="1"/>
    <col min="1247" max="1248" width="0" hidden="1" customWidth="1"/>
    <col min="1250" max="1251" width="0" hidden="1" customWidth="1"/>
    <col min="1485" max="1485" width="12.7109375" customWidth="1"/>
    <col min="1486" max="1486" width="15" customWidth="1"/>
    <col min="1487" max="1487" width="12.42578125" customWidth="1"/>
    <col min="1488" max="1488" width="18" customWidth="1"/>
    <col min="1492" max="1501" width="14.7109375" customWidth="1"/>
    <col min="1502" max="1502" width="6.7109375" customWidth="1"/>
    <col min="1503" max="1504" width="0" hidden="1" customWidth="1"/>
    <col min="1506" max="1507" width="0" hidden="1" customWidth="1"/>
    <col min="1741" max="1741" width="12.7109375" customWidth="1"/>
    <col min="1742" max="1742" width="15" customWidth="1"/>
    <col min="1743" max="1743" width="12.42578125" customWidth="1"/>
    <col min="1744" max="1744" width="18" customWidth="1"/>
    <col min="1748" max="1757" width="14.7109375" customWidth="1"/>
    <col min="1758" max="1758" width="6.7109375" customWidth="1"/>
    <col min="1759" max="1760" width="0" hidden="1" customWidth="1"/>
    <col min="1762" max="1763" width="0" hidden="1" customWidth="1"/>
    <col min="1997" max="1997" width="12.7109375" customWidth="1"/>
    <col min="1998" max="1998" width="15" customWidth="1"/>
    <col min="1999" max="1999" width="12.42578125" customWidth="1"/>
    <col min="2000" max="2000" width="18" customWidth="1"/>
    <col min="2004" max="2013" width="14.7109375" customWidth="1"/>
    <col min="2014" max="2014" width="6.7109375" customWidth="1"/>
    <col min="2015" max="2016" width="0" hidden="1" customWidth="1"/>
    <col min="2018" max="2019" width="0" hidden="1" customWidth="1"/>
    <col min="2253" max="2253" width="12.7109375" customWidth="1"/>
    <col min="2254" max="2254" width="15" customWidth="1"/>
    <col min="2255" max="2255" width="12.42578125" customWidth="1"/>
    <col min="2256" max="2256" width="18" customWidth="1"/>
    <col min="2260" max="2269" width="14.7109375" customWidth="1"/>
    <col min="2270" max="2270" width="6.7109375" customWidth="1"/>
    <col min="2271" max="2272" width="0" hidden="1" customWidth="1"/>
    <col min="2274" max="2275" width="0" hidden="1" customWidth="1"/>
    <col min="2509" max="2509" width="12.7109375" customWidth="1"/>
    <col min="2510" max="2510" width="15" customWidth="1"/>
    <col min="2511" max="2511" width="12.42578125" customWidth="1"/>
    <col min="2512" max="2512" width="18" customWidth="1"/>
    <col min="2516" max="2525" width="14.7109375" customWidth="1"/>
    <col min="2526" max="2526" width="6.7109375" customWidth="1"/>
    <col min="2527" max="2528" width="0" hidden="1" customWidth="1"/>
    <col min="2530" max="2531" width="0" hidden="1" customWidth="1"/>
    <col min="2765" max="2765" width="12.7109375" customWidth="1"/>
    <col min="2766" max="2766" width="15" customWidth="1"/>
    <col min="2767" max="2767" width="12.42578125" customWidth="1"/>
    <col min="2768" max="2768" width="18" customWidth="1"/>
    <col min="2772" max="2781" width="14.7109375" customWidth="1"/>
    <col min="2782" max="2782" width="6.7109375" customWidth="1"/>
    <col min="2783" max="2784" width="0" hidden="1" customWidth="1"/>
    <col min="2786" max="2787" width="0" hidden="1" customWidth="1"/>
    <col min="3021" max="3021" width="12.7109375" customWidth="1"/>
    <col min="3022" max="3022" width="15" customWidth="1"/>
    <col min="3023" max="3023" width="12.42578125" customWidth="1"/>
    <col min="3024" max="3024" width="18" customWidth="1"/>
    <col min="3028" max="3037" width="14.7109375" customWidth="1"/>
    <col min="3038" max="3038" width="6.7109375" customWidth="1"/>
    <col min="3039" max="3040" width="0" hidden="1" customWidth="1"/>
    <col min="3042" max="3043" width="0" hidden="1" customWidth="1"/>
    <col min="3277" max="3277" width="12.7109375" customWidth="1"/>
    <col min="3278" max="3278" width="15" customWidth="1"/>
    <col min="3279" max="3279" width="12.42578125" customWidth="1"/>
    <col min="3280" max="3280" width="18" customWidth="1"/>
    <col min="3284" max="3293" width="14.7109375" customWidth="1"/>
    <col min="3294" max="3294" width="6.7109375" customWidth="1"/>
    <col min="3295" max="3296" width="0" hidden="1" customWidth="1"/>
    <col min="3298" max="3299" width="0" hidden="1" customWidth="1"/>
    <col min="3533" max="3533" width="12.7109375" customWidth="1"/>
    <col min="3534" max="3534" width="15" customWidth="1"/>
    <col min="3535" max="3535" width="12.42578125" customWidth="1"/>
    <col min="3536" max="3536" width="18" customWidth="1"/>
    <col min="3540" max="3549" width="14.7109375" customWidth="1"/>
    <col min="3550" max="3550" width="6.7109375" customWidth="1"/>
    <col min="3551" max="3552" width="0" hidden="1" customWidth="1"/>
    <col min="3554" max="3555" width="0" hidden="1" customWidth="1"/>
    <col min="3789" max="3789" width="12.7109375" customWidth="1"/>
    <col min="3790" max="3790" width="15" customWidth="1"/>
    <col min="3791" max="3791" width="12.42578125" customWidth="1"/>
    <col min="3792" max="3792" width="18" customWidth="1"/>
    <col min="3796" max="3805" width="14.7109375" customWidth="1"/>
    <col min="3806" max="3806" width="6.7109375" customWidth="1"/>
    <col min="3807" max="3808" width="0" hidden="1" customWidth="1"/>
    <col min="3810" max="3811" width="0" hidden="1" customWidth="1"/>
    <col min="4045" max="4045" width="12.7109375" customWidth="1"/>
    <col min="4046" max="4046" width="15" customWidth="1"/>
    <col min="4047" max="4047" width="12.42578125" customWidth="1"/>
    <col min="4048" max="4048" width="18" customWidth="1"/>
    <col min="4052" max="4061" width="14.7109375" customWidth="1"/>
    <col min="4062" max="4062" width="6.7109375" customWidth="1"/>
    <col min="4063" max="4064" width="0" hidden="1" customWidth="1"/>
    <col min="4066" max="4067" width="0" hidden="1" customWidth="1"/>
    <col min="4301" max="4301" width="12.7109375" customWidth="1"/>
    <col min="4302" max="4302" width="15" customWidth="1"/>
    <col min="4303" max="4303" width="12.42578125" customWidth="1"/>
    <col min="4304" max="4304" width="18" customWidth="1"/>
    <col min="4308" max="4317" width="14.7109375" customWidth="1"/>
    <col min="4318" max="4318" width="6.7109375" customWidth="1"/>
    <col min="4319" max="4320" width="0" hidden="1" customWidth="1"/>
    <col min="4322" max="4323" width="0" hidden="1" customWidth="1"/>
    <col min="4557" max="4557" width="12.7109375" customWidth="1"/>
    <col min="4558" max="4558" width="15" customWidth="1"/>
    <col min="4559" max="4559" width="12.42578125" customWidth="1"/>
    <col min="4560" max="4560" width="18" customWidth="1"/>
    <col min="4564" max="4573" width="14.7109375" customWidth="1"/>
    <col min="4574" max="4574" width="6.7109375" customWidth="1"/>
    <col min="4575" max="4576" width="0" hidden="1" customWidth="1"/>
    <col min="4578" max="4579" width="0" hidden="1" customWidth="1"/>
    <col min="4813" max="4813" width="12.7109375" customWidth="1"/>
    <col min="4814" max="4814" width="15" customWidth="1"/>
    <col min="4815" max="4815" width="12.42578125" customWidth="1"/>
    <col min="4816" max="4816" width="18" customWidth="1"/>
    <col min="4820" max="4829" width="14.7109375" customWidth="1"/>
    <col min="4830" max="4830" width="6.7109375" customWidth="1"/>
    <col min="4831" max="4832" width="0" hidden="1" customWidth="1"/>
    <col min="4834" max="4835" width="0" hidden="1" customWidth="1"/>
    <col min="5069" max="5069" width="12.7109375" customWidth="1"/>
    <col min="5070" max="5070" width="15" customWidth="1"/>
    <col min="5071" max="5071" width="12.42578125" customWidth="1"/>
    <col min="5072" max="5072" width="18" customWidth="1"/>
    <col min="5076" max="5085" width="14.7109375" customWidth="1"/>
    <col min="5086" max="5086" width="6.7109375" customWidth="1"/>
    <col min="5087" max="5088" width="0" hidden="1" customWidth="1"/>
    <col min="5090" max="5091" width="0" hidden="1" customWidth="1"/>
    <col min="5325" max="5325" width="12.7109375" customWidth="1"/>
    <col min="5326" max="5326" width="15" customWidth="1"/>
    <col min="5327" max="5327" width="12.42578125" customWidth="1"/>
    <col min="5328" max="5328" width="18" customWidth="1"/>
    <col min="5332" max="5341" width="14.7109375" customWidth="1"/>
    <col min="5342" max="5342" width="6.7109375" customWidth="1"/>
    <col min="5343" max="5344" width="0" hidden="1" customWidth="1"/>
    <col min="5346" max="5347" width="0" hidden="1" customWidth="1"/>
    <col min="5581" max="5581" width="12.7109375" customWidth="1"/>
    <col min="5582" max="5582" width="15" customWidth="1"/>
    <col min="5583" max="5583" width="12.42578125" customWidth="1"/>
    <col min="5584" max="5584" width="18" customWidth="1"/>
    <col min="5588" max="5597" width="14.7109375" customWidth="1"/>
    <col min="5598" max="5598" width="6.7109375" customWidth="1"/>
    <col min="5599" max="5600" width="0" hidden="1" customWidth="1"/>
    <col min="5602" max="5603" width="0" hidden="1" customWidth="1"/>
    <col min="5837" max="5837" width="12.7109375" customWidth="1"/>
    <col min="5838" max="5838" width="15" customWidth="1"/>
    <col min="5839" max="5839" width="12.42578125" customWidth="1"/>
    <col min="5840" max="5840" width="18" customWidth="1"/>
    <col min="5844" max="5853" width="14.7109375" customWidth="1"/>
    <col min="5854" max="5854" width="6.7109375" customWidth="1"/>
    <col min="5855" max="5856" width="0" hidden="1" customWidth="1"/>
    <col min="5858" max="5859" width="0" hidden="1" customWidth="1"/>
    <col min="6093" max="6093" width="12.7109375" customWidth="1"/>
    <col min="6094" max="6094" width="15" customWidth="1"/>
    <col min="6095" max="6095" width="12.42578125" customWidth="1"/>
    <col min="6096" max="6096" width="18" customWidth="1"/>
    <col min="6100" max="6109" width="14.7109375" customWidth="1"/>
    <col min="6110" max="6110" width="6.7109375" customWidth="1"/>
    <col min="6111" max="6112" width="0" hidden="1" customWidth="1"/>
    <col min="6114" max="6115" width="0" hidden="1" customWidth="1"/>
    <col min="6349" max="6349" width="12.7109375" customWidth="1"/>
    <col min="6350" max="6350" width="15" customWidth="1"/>
    <col min="6351" max="6351" width="12.42578125" customWidth="1"/>
    <col min="6352" max="6352" width="18" customWidth="1"/>
    <col min="6356" max="6365" width="14.7109375" customWidth="1"/>
    <col min="6366" max="6366" width="6.7109375" customWidth="1"/>
    <col min="6367" max="6368" width="0" hidden="1" customWidth="1"/>
    <col min="6370" max="6371" width="0" hidden="1" customWidth="1"/>
    <col min="6605" max="6605" width="12.7109375" customWidth="1"/>
    <col min="6606" max="6606" width="15" customWidth="1"/>
    <col min="6607" max="6607" width="12.42578125" customWidth="1"/>
    <col min="6608" max="6608" width="18" customWidth="1"/>
    <col min="6612" max="6621" width="14.7109375" customWidth="1"/>
    <col min="6622" max="6622" width="6.7109375" customWidth="1"/>
    <col min="6623" max="6624" width="0" hidden="1" customWidth="1"/>
    <col min="6626" max="6627" width="0" hidden="1" customWidth="1"/>
    <col min="6861" max="6861" width="12.7109375" customWidth="1"/>
    <col min="6862" max="6862" width="15" customWidth="1"/>
    <col min="6863" max="6863" width="12.42578125" customWidth="1"/>
    <col min="6864" max="6864" width="18" customWidth="1"/>
    <col min="6868" max="6877" width="14.7109375" customWidth="1"/>
    <col min="6878" max="6878" width="6.7109375" customWidth="1"/>
    <col min="6879" max="6880" width="0" hidden="1" customWidth="1"/>
    <col min="6882" max="6883" width="0" hidden="1" customWidth="1"/>
    <col min="7117" max="7117" width="12.7109375" customWidth="1"/>
    <col min="7118" max="7118" width="15" customWidth="1"/>
    <col min="7119" max="7119" width="12.42578125" customWidth="1"/>
    <col min="7120" max="7120" width="18" customWidth="1"/>
    <col min="7124" max="7133" width="14.7109375" customWidth="1"/>
    <col min="7134" max="7134" width="6.7109375" customWidth="1"/>
    <col min="7135" max="7136" width="0" hidden="1" customWidth="1"/>
    <col min="7138" max="7139" width="0" hidden="1" customWidth="1"/>
    <col min="7373" max="7373" width="12.7109375" customWidth="1"/>
    <col min="7374" max="7374" width="15" customWidth="1"/>
    <col min="7375" max="7375" width="12.42578125" customWidth="1"/>
    <col min="7376" max="7376" width="18" customWidth="1"/>
    <col min="7380" max="7389" width="14.7109375" customWidth="1"/>
    <col min="7390" max="7390" width="6.7109375" customWidth="1"/>
    <col min="7391" max="7392" width="0" hidden="1" customWidth="1"/>
    <col min="7394" max="7395" width="0" hidden="1" customWidth="1"/>
    <col min="7629" max="7629" width="12.7109375" customWidth="1"/>
    <col min="7630" max="7630" width="15" customWidth="1"/>
    <col min="7631" max="7631" width="12.42578125" customWidth="1"/>
    <col min="7632" max="7632" width="18" customWidth="1"/>
    <col min="7636" max="7645" width="14.7109375" customWidth="1"/>
    <col min="7646" max="7646" width="6.7109375" customWidth="1"/>
    <col min="7647" max="7648" width="0" hidden="1" customWidth="1"/>
    <col min="7650" max="7651" width="0" hidden="1" customWidth="1"/>
    <col min="7885" max="7885" width="12.7109375" customWidth="1"/>
    <col min="7886" max="7886" width="15" customWidth="1"/>
    <col min="7887" max="7887" width="12.42578125" customWidth="1"/>
    <col min="7888" max="7888" width="18" customWidth="1"/>
    <col min="7892" max="7901" width="14.7109375" customWidth="1"/>
    <col min="7902" max="7902" width="6.7109375" customWidth="1"/>
    <col min="7903" max="7904" width="0" hidden="1" customWidth="1"/>
    <col min="7906" max="7907" width="0" hidden="1" customWidth="1"/>
    <col min="8141" max="8141" width="12.7109375" customWidth="1"/>
    <col min="8142" max="8142" width="15" customWidth="1"/>
    <col min="8143" max="8143" width="12.42578125" customWidth="1"/>
    <col min="8144" max="8144" width="18" customWidth="1"/>
    <col min="8148" max="8157" width="14.7109375" customWidth="1"/>
    <col min="8158" max="8158" width="6.7109375" customWidth="1"/>
    <col min="8159" max="8160" width="0" hidden="1" customWidth="1"/>
    <col min="8162" max="8163" width="0" hidden="1" customWidth="1"/>
    <col min="8397" max="8397" width="12.7109375" customWidth="1"/>
    <col min="8398" max="8398" width="15" customWidth="1"/>
    <col min="8399" max="8399" width="12.42578125" customWidth="1"/>
    <col min="8400" max="8400" width="18" customWidth="1"/>
    <col min="8404" max="8413" width="14.7109375" customWidth="1"/>
    <col min="8414" max="8414" width="6.7109375" customWidth="1"/>
    <col min="8415" max="8416" width="0" hidden="1" customWidth="1"/>
    <col min="8418" max="8419" width="0" hidden="1" customWidth="1"/>
    <col min="8653" max="8653" width="12.7109375" customWidth="1"/>
    <col min="8654" max="8654" width="15" customWidth="1"/>
    <col min="8655" max="8655" width="12.42578125" customWidth="1"/>
    <col min="8656" max="8656" width="18" customWidth="1"/>
    <col min="8660" max="8669" width="14.7109375" customWidth="1"/>
    <col min="8670" max="8670" width="6.7109375" customWidth="1"/>
    <col min="8671" max="8672" width="0" hidden="1" customWidth="1"/>
    <col min="8674" max="8675" width="0" hidden="1" customWidth="1"/>
    <col min="8909" max="8909" width="12.7109375" customWidth="1"/>
    <col min="8910" max="8910" width="15" customWidth="1"/>
    <col min="8911" max="8911" width="12.42578125" customWidth="1"/>
    <col min="8912" max="8912" width="18" customWidth="1"/>
    <col min="8916" max="8925" width="14.7109375" customWidth="1"/>
    <col min="8926" max="8926" width="6.7109375" customWidth="1"/>
    <col min="8927" max="8928" width="0" hidden="1" customWidth="1"/>
    <col min="8930" max="8931" width="0" hidden="1" customWidth="1"/>
    <col min="9165" max="9165" width="12.7109375" customWidth="1"/>
    <col min="9166" max="9166" width="15" customWidth="1"/>
    <col min="9167" max="9167" width="12.42578125" customWidth="1"/>
    <col min="9168" max="9168" width="18" customWidth="1"/>
    <col min="9172" max="9181" width="14.7109375" customWidth="1"/>
    <col min="9182" max="9182" width="6.7109375" customWidth="1"/>
    <col min="9183" max="9184" width="0" hidden="1" customWidth="1"/>
    <col min="9186" max="9187" width="0" hidden="1" customWidth="1"/>
    <col min="9421" max="9421" width="12.7109375" customWidth="1"/>
    <col min="9422" max="9422" width="15" customWidth="1"/>
    <col min="9423" max="9423" width="12.42578125" customWidth="1"/>
    <col min="9424" max="9424" width="18" customWidth="1"/>
    <col min="9428" max="9437" width="14.7109375" customWidth="1"/>
    <col min="9438" max="9438" width="6.7109375" customWidth="1"/>
    <col min="9439" max="9440" width="0" hidden="1" customWidth="1"/>
    <col min="9442" max="9443" width="0" hidden="1" customWidth="1"/>
    <col min="9677" max="9677" width="12.7109375" customWidth="1"/>
    <col min="9678" max="9678" width="15" customWidth="1"/>
    <col min="9679" max="9679" width="12.42578125" customWidth="1"/>
    <col min="9680" max="9680" width="18" customWidth="1"/>
    <col min="9684" max="9693" width="14.7109375" customWidth="1"/>
    <col min="9694" max="9694" width="6.7109375" customWidth="1"/>
    <col min="9695" max="9696" width="0" hidden="1" customWidth="1"/>
    <col min="9698" max="9699" width="0" hidden="1" customWidth="1"/>
    <col min="9933" max="9933" width="12.7109375" customWidth="1"/>
    <col min="9934" max="9934" width="15" customWidth="1"/>
    <col min="9935" max="9935" width="12.42578125" customWidth="1"/>
    <col min="9936" max="9936" width="18" customWidth="1"/>
    <col min="9940" max="9949" width="14.7109375" customWidth="1"/>
    <col min="9950" max="9950" width="6.7109375" customWidth="1"/>
    <col min="9951" max="9952" width="0" hidden="1" customWidth="1"/>
    <col min="9954" max="9955" width="0" hidden="1" customWidth="1"/>
    <col min="10189" max="10189" width="12.7109375" customWidth="1"/>
    <col min="10190" max="10190" width="15" customWidth="1"/>
    <col min="10191" max="10191" width="12.42578125" customWidth="1"/>
    <col min="10192" max="10192" width="18" customWidth="1"/>
    <col min="10196" max="10205" width="14.7109375" customWidth="1"/>
    <col min="10206" max="10206" width="6.7109375" customWidth="1"/>
    <col min="10207" max="10208" width="0" hidden="1" customWidth="1"/>
    <col min="10210" max="10211" width="0" hidden="1" customWidth="1"/>
    <col min="10445" max="10445" width="12.7109375" customWidth="1"/>
    <col min="10446" max="10446" width="15" customWidth="1"/>
    <col min="10447" max="10447" width="12.42578125" customWidth="1"/>
    <col min="10448" max="10448" width="18" customWidth="1"/>
    <col min="10452" max="10461" width="14.7109375" customWidth="1"/>
    <col min="10462" max="10462" width="6.7109375" customWidth="1"/>
    <col min="10463" max="10464" width="0" hidden="1" customWidth="1"/>
    <col min="10466" max="10467" width="0" hidden="1" customWidth="1"/>
    <col min="10701" max="10701" width="12.7109375" customWidth="1"/>
    <col min="10702" max="10702" width="15" customWidth="1"/>
    <col min="10703" max="10703" width="12.42578125" customWidth="1"/>
    <col min="10704" max="10704" width="18" customWidth="1"/>
    <col min="10708" max="10717" width="14.7109375" customWidth="1"/>
    <col min="10718" max="10718" width="6.7109375" customWidth="1"/>
    <col min="10719" max="10720" width="0" hidden="1" customWidth="1"/>
    <col min="10722" max="10723" width="0" hidden="1" customWidth="1"/>
    <col min="10957" max="10957" width="12.7109375" customWidth="1"/>
    <col min="10958" max="10958" width="15" customWidth="1"/>
    <col min="10959" max="10959" width="12.42578125" customWidth="1"/>
    <col min="10960" max="10960" width="18" customWidth="1"/>
    <col min="10964" max="10973" width="14.7109375" customWidth="1"/>
    <col min="10974" max="10974" width="6.7109375" customWidth="1"/>
    <col min="10975" max="10976" width="0" hidden="1" customWidth="1"/>
    <col min="10978" max="10979" width="0" hidden="1" customWidth="1"/>
    <col min="11213" max="11213" width="12.7109375" customWidth="1"/>
    <col min="11214" max="11214" width="15" customWidth="1"/>
    <col min="11215" max="11215" width="12.42578125" customWidth="1"/>
    <col min="11216" max="11216" width="18" customWidth="1"/>
    <col min="11220" max="11229" width="14.7109375" customWidth="1"/>
    <col min="11230" max="11230" width="6.7109375" customWidth="1"/>
    <col min="11231" max="11232" width="0" hidden="1" customWidth="1"/>
    <col min="11234" max="11235" width="0" hidden="1" customWidth="1"/>
    <col min="11469" max="11469" width="12.7109375" customWidth="1"/>
    <col min="11470" max="11470" width="15" customWidth="1"/>
    <col min="11471" max="11471" width="12.42578125" customWidth="1"/>
    <col min="11472" max="11472" width="18" customWidth="1"/>
    <col min="11476" max="11485" width="14.7109375" customWidth="1"/>
    <col min="11486" max="11486" width="6.7109375" customWidth="1"/>
    <col min="11487" max="11488" width="0" hidden="1" customWidth="1"/>
    <col min="11490" max="11491" width="0" hidden="1" customWidth="1"/>
    <col min="11725" max="11725" width="12.7109375" customWidth="1"/>
    <col min="11726" max="11726" width="15" customWidth="1"/>
    <col min="11727" max="11727" width="12.42578125" customWidth="1"/>
    <col min="11728" max="11728" width="18" customWidth="1"/>
    <col min="11732" max="11741" width="14.7109375" customWidth="1"/>
    <col min="11742" max="11742" width="6.7109375" customWidth="1"/>
    <col min="11743" max="11744" width="0" hidden="1" customWidth="1"/>
    <col min="11746" max="11747" width="0" hidden="1" customWidth="1"/>
    <col min="11981" max="11981" width="12.7109375" customWidth="1"/>
    <col min="11982" max="11982" width="15" customWidth="1"/>
    <col min="11983" max="11983" width="12.42578125" customWidth="1"/>
    <col min="11984" max="11984" width="18" customWidth="1"/>
    <col min="11988" max="11997" width="14.7109375" customWidth="1"/>
    <col min="11998" max="11998" width="6.7109375" customWidth="1"/>
    <col min="11999" max="12000" width="0" hidden="1" customWidth="1"/>
    <col min="12002" max="12003" width="0" hidden="1" customWidth="1"/>
    <col min="12237" max="12237" width="12.7109375" customWidth="1"/>
    <col min="12238" max="12238" width="15" customWidth="1"/>
    <col min="12239" max="12239" width="12.42578125" customWidth="1"/>
    <col min="12240" max="12240" width="18" customWidth="1"/>
    <col min="12244" max="12253" width="14.7109375" customWidth="1"/>
    <col min="12254" max="12254" width="6.7109375" customWidth="1"/>
    <col min="12255" max="12256" width="0" hidden="1" customWidth="1"/>
    <col min="12258" max="12259" width="0" hidden="1" customWidth="1"/>
    <col min="12493" max="12493" width="12.7109375" customWidth="1"/>
    <col min="12494" max="12494" width="15" customWidth="1"/>
    <col min="12495" max="12495" width="12.42578125" customWidth="1"/>
    <col min="12496" max="12496" width="18" customWidth="1"/>
    <col min="12500" max="12509" width="14.7109375" customWidth="1"/>
    <col min="12510" max="12510" width="6.7109375" customWidth="1"/>
    <col min="12511" max="12512" width="0" hidden="1" customWidth="1"/>
    <col min="12514" max="12515" width="0" hidden="1" customWidth="1"/>
    <col min="12749" max="12749" width="12.7109375" customWidth="1"/>
    <col min="12750" max="12750" width="15" customWidth="1"/>
    <col min="12751" max="12751" width="12.42578125" customWidth="1"/>
    <col min="12752" max="12752" width="18" customWidth="1"/>
    <col min="12756" max="12765" width="14.7109375" customWidth="1"/>
    <col min="12766" max="12766" width="6.7109375" customWidth="1"/>
    <col min="12767" max="12768" width="0" hidden="1" customWidth="1"/>
    <col min="12770" max="12771" width="0" hidden="1" customWidth="1"/>
    <col min="13005" max="13005" width="12.7109375" customWidth="1"/>
    <col min="13006" max="13006" width="15" customWidth="1"/>
    <col min="13007" max="13007" width="12.42578125" customWidth="1"/>
    <col min="13008" max="13008" width="18" customWidth="1"/>
    <col min="13012" max="13021" width="14.7109375" customWidth="1"/>
    <col min="13022" max="13022" width="6.7109375" customWidth="1"/>
    <col min="13023" max="13024" width="0" hidden="1" customWidth="1"/>
    <col min="13026" max="13027" width="0" hidden="1" customWidth="1"/>
    <col min="13261" max="13261" width="12.7109375" customWidth="1"/>
    <col min="13262" max="13262" width="15" customWidth="1"/>
    <col min="13263" max="13263" width="12.42578125" customWidth="1"/>
    <col min="13264" max="13264" width="18" customWidth="1"/>
    <col min="13268" max="13277" width="14.7109375" customWidth="1"/>
    <col min="13278" max="13278" width="6.7109375" customWidth="1"/>
    <col min="13279" max="13280" width="0" hidden="1" customWidth="1"/>
    <col min="13282" max="13283" width="0" hidden="1" customWidth="1"/>
    <col min="13517" max="13517" width="12.7109375" customWidth="1"/>
    <col min="13518" max="13518" width="15" customWidth="1"/>
    <col min="13519" max="13519" width="12.42578125" customWidth="1"/>
    <col min="13520" max="13520" width="18" customWidth="1"/>
    <col min="13524" max="13533" width="14.7109375" customWidth="1"/>
    <col min="13534" max="13534" width="6.7109375" customWidth="1"/>
    <col min="13535" max="13536" width="0" hidden="1" customWidth="1"/>
    <col min="13538" max="13539" width="0" hidden="1" customWidth="1"/>
    <col min="13773" max="13773" width="12.7109375" customWidth="1"/>
    <col min="13774" max="13774" width="15" customWidth="1"/>
    <col min="13775" max="13775" width="12.42578125" customWidth="1"/>
    <col min="13776" max="13776" width="18" customWidth="1"/>
    <col min="13780" max="13789" width="14.7109375" customWidth="1"/>
    <col min="13790" max="13790" width="6.7109375" customWidth="1"/>
    <col min="13791" max="13792" width="0" hidden="1" customWidth="1"/>
    <col min="13794" max="13795" width="0" hidden="1" customWidth="1"/>
    <col min="14029" max="14029" width="12.7109375" customWidth="1"/>
    <col min="14030" max="14030" width="15" customWidth="1"/>
    <col min="14031" max="14031" width="12.42578125" customWidth="1"/>
    <col min="14032" max="14032" width="18" customWidth="1"/>
    <col min="14036" max="14045" width="14.7109375" customWidth="1"/>
    <col min="14046" max="14046" width="6.7109375" customWidth="1"/>
    <col min="14047" max="14048" width="0" hidden="1" customWidth="1"/>
    <col min="14050" max="14051" width="0" hidden="1" customWidth="1"/>
    <col min="14285" max="14285" width="12.7109375" customWidth="1"/>
    <col min="14286" max="14286" width="15" customWidth="1"/>
    <col min="14287" max="14287" width="12.42578125" customWidth="1"/>
    <col min="14288" max="14288" width="18" customWidth="1"/>
    <col min="14292" max="14301" width="14.7109375" customWidth="1"/>
    <col min="14302" max="14302" width="6.7109375" customWidth="1"/>
    <col min="14303" max="14304" width="0" hidden="1" customWidth="1"/>
    <col min="14306" max="14307" width="0" hidden="1" customWidth="1"/>
    <col min="14541" max="14541" width="12.7109375" customWidth="1"/>
    <col min="14542" max="14542" width="15" customWidth="1"/>
    <col min="14543" max="14543" width="12.42578125" customWidth="1"/>
    <col min="14544" max="14544" width="18" customWidth="1"/>
    <col min="14548" max="14557" width="14.7109375" customWidth="1"/>
    <col min="14558" max="14558" width="6.7109375" customWidth="1"/>
    <col min="14559" max="14560" width="0" hidden="1" customWidth="1"/>
    <col min="14562" max="14563" width="0" hidden="1" customWidth="1"/>
    <col min="14797" max="14797" width="12.7109375" customWidth="1"/>
    <col min="14798" max="14798" width="15" customWidth="1"/>
    <col min="14799" max="14799" width="12.42578125" customWidth="1"/>
    <col min="14800" max="14800" width="18" customWidth="1"/>
    <col min="14804" max="14813" width="14.7109375" customWidth="1"/>
    <col min="14814" max="14814" width="6.7109375" customWidth="1"/>
    <col min="14815" max="14816" width="0" hidden="1" customWidth="1"/>
    <col min="14818" max="14819" width="0" hidden="1" customWidth="1"/>
    <col min="15053" max="15053" width="12.7109375" customWidth="1"/>
    <col min="15054" max="15054" width="15" customWidth="1"/>
    <col min="15055" max="15055" width="12.42578125" customWidth="1"/>
    <col min="15056" max="15056" width="18" customWidth="1"/>
    <col min="15060" max="15069" width="14.7109375" customWidth="1"/>
    <col min="15070" max="15070" width="6.7109375" customWidth="1"/>
    <col min="15071" max="15072" width="0" hidden="1" customWidth="1"/>
    <col min="15074" max="15075" width="0" hidden="1" customWidth="1"/>
    <col min="15309" max="15309" width="12.7109375" customWidth="1"/>
    <col min="15310" max="15310" width="15" customWidth="1"/>
    <col min="15311" max="15311" width="12.42578125" customWidth="1"/>
    <col min="15312" max="15312" width="18" customWidth="1"/>
    <col min="15316" max="15325" width="14.7109375" customWidth="1"/>
    <col min="15326" max="15326" width="6.7109375" customWidth="1"/>
    <col min="15327" max="15328" width="0" hidden="1" customWidth="1"/>
    <col min="15330" max="15331" width="0" hidden="1" customWidth="1"/>
    <col min="15565" max="15565" width="12.7109375" customWidth="1"/>
    <col min="15566" max="15566" width="15" customWidth="1"/>
    <col min="15567" max="15567" width="12.42578125" customWidth="1"/>
    <col min="15568" max="15568" width="18" customWidth="1"/>
    <col min="15572" max="15581" width="14.7109375" customWidth="1"/>
    <col min="15582" max="15582" width="6.7109375" customWidth="1"/>
    <col min="15583" max="15584" width="0" hidden="1" customWidth="1"/>
    <col min="15586" max="15587" width="0" hidden="1" customWidth="1"/>
    <col min="15821" max="15821" width="12.7109375" customWidth="1"/>
    <col min="15822" max="15822" width="15" customWidth="1"/>
    <col min="15823" max="15823" width="12.42578125" customWidth="1"/>
    <col min="15824" max="15824" width="18" customWidth="1"/>
    <col min="15828" max="15837" width="14.7109375" customWidth="1"/>
    <col min="15838" max="15838" width="6.7109375" customWidth="1"/>
    <col min="15839" max="15840" width="0" hidden="1" customWidth="1"/>
    <col min="15842" max="15843" width="0" hidden="1" customWidth="1"/>
    <col min="16077" max="16077" width="12.7109375" customWidth="1"/>
    <col min="16078" max="16078" width="15" customWidth="1"/>
    <col min="16079" max="16079" width="12.42578125" customWidth="1"/>
    <col min="16080" max="16080" width="18" customWidth="1"/>
    <col min="16084" max="16093" width="14.7109375" customWidth="1"/>
    <col min="16094" max="16094" width="6.7109375" customWidth="1"/>
    <col min="16095" max="16096" width="0" hidden="1" customWidth="1"/>
    <col min="16098" max="16099" width="0" hidden="1" customWidth="1"/>
    <col min="16333" max="16333" width="12.7109375" customWidth="1"/>
    <col min="16334" max="16334" width="15" customWidth="1"/>
    <col min="16335" max="16335" width="12.42578125" customWidth="1"/>
    <col min="16336" max="16336" width="18" customWidth="1"/>
    <col min="16340" max="16349" width="14.7109375" customWidth="1"/>
    <col min="16350" max="16350" width="6.7109375" customWidth="1"/>
    <col min="16351" max="16352" width="0" hidden="1" customWidth="1"/>
    <col min="16354" max="16355" width="0" hidden="1" customWidth="1"/>
  </cols>
  <sheetData>
    <row r="1" spans="1:328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1"/>
      <c r="AG1" s="1"/>
      <c r="AH1" s="1"/>
      <c r="AI1" s="1"/>
      <c r="AJ1" s="1"/>
      <c r="AK1" s="1"/>
      <c r="AL1" s="35"/>
      <c r="AM1" s="35"/>
      <c r="AN1" s="35"/>
      <c r="AO1" s="35"/>
      <c r="AP1" s="1"/>
      <c r="AQ1" s="1"/>
      <c r="AR1" s="1"/>
      <c r="AS1" s="1"/>
      <c r="AT1" s="1"/>
      <c r="AU1" s="1"/>
      <c r="AV1" s="35"/>
      <c r="AW1" s="35"/>
      <c r="AX1" s="35"/>
      <c r="AY1" s="35"/>
      <c r="AZ1" s="1"/>
      <c r="BA1" s="1"/>
      <c r="BB1" s="1"/>
      <c r="BC1" s="1"/>
      <c r="BD1" s="1"/>
      <c r="BE1" s="1"/>
      <c r="BF1" s="35"/>
      <c r="BG1" s="35"/>
      <c r="BH1" s="35"/>
      <c r="BI1" s="35"/>
      <c r="BJ1" s="1"/>
      <c r="BK1" s="1"/>
      <c r="BL1" s="1"/>
      <c r="BM1" s="1"/>
      <c r="BN1" s="1"/>
      <c r="BO1" s="1"/>
      <c r="BP1" s="35"/>
      <c r="BQ1" s="35"/>
      <c r="BR1" s="35"/>
      <c r="BS1" s="35"/>
      <c r="BT1" s="35"/>
      <c r="BU1" s="35"/>
      <c r="BV1" s="35"/>
      <c r="BW1" s="35"/>
      <c r="BX1" s="35"/>
      <c r="BY1" s="35"/>
      <c r="BZ1" s="35"/>
      <c r="CA1" s="35"/>
      <c r="CB1" s="35"/>
      <c r="CC1" s="35"/>
      <c r="CD1" s="35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</row>
    <row r="2" spans="1:328">
      <c r="A2" s="1" t="s">
        <v>1</v>
      </c>
      <c r="B2" s="1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</row>
    <row r="3" spans="1:328">
      <c r="A3" s="1" t="s">
        <v>3</v>
      </c>
      <c r="B3" s="1" t="s">
        <v>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</row>
    <row r="4" spans="1:328">
      <c r="A4" s="1" t="s">
        <v>5</v>
      </c>
      <c r="B4" s="1" t="s">
        <v>6</v>
      </c>
      <c r="C4" s="1" t="s">
        <v>7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36"/>
      <c r="HR4" s="36"/>
      <c r="HS4" s="36"/>
      <c r="HT4" s="36"/>
    </row>
    <row r="5" spans="1:328" ht="15" customHeight="1">
      <c r="A5" s="1"/>
      <c r="B5" s="1"/>
      <c r="C5" s="1"/>
      <c r="D5" s="1"/>
      <c r="E5" s="1"/>
      <c r="F5" s="1"/>
      <c r="G5" s="2" t="s">
        <v>8</v>
      </c>
      <c r="H5" s="37" t="s">
        <v>99</v>
      </c>
      <c r="I5" s="38"/>
      <c r="J5" s="38"/>
      <c r="K5" s="38"/>
      <c r="L5" s="39"/>
      <c r="M5" s="37" t="s">
        <v>99</v>
      </c>
      <c r="N5" s="38"/>
      <c r="O5" s="38"/>
      <c r="P5" s="38"/>
      <c r="Q5" s="39"/>
      <c r="R5" s="37" t="s">
        <v>98</v>
      </c>
      <c r="S5" s="38"/>
      <c r="T5" s="38"/>
      <c r="U5" s="38"/>
      <c r="V5" s="39"/>
      <c r="W5" s="37" t="s">
        <v>98</v>
      </c>
      <c r="X5" s="38"/>
      <c r="Y5" s="38"/>
      <c r="Z5" s="38"/>
      <c r="AA5" s="39"/>
      <c r="AB5" s="37" t="s">
        <v>97</v>
      </c>
      <c r="AC5" s="38"/>
      <c r="AD5" s="38"/>
      <c r="AE5" s="38"/>
      <c r="AF5" s="39"/>
      <c r="AG5" s="37" t="s">
        <v>97</v>
      </c>
      <c r="AH5" s="38"/>
      <c r="AI5" s="38"/>
      <c r="AJ5" s="38"/>
      <c r="AK5" s="39"/>
      <c r="AL5" s="37" t="s">
        <v>100</v>
      </c>
      <c r="AM5" s="38"/>
      <c r="AN5" s="38"/>
      <c r="AO5" s="38"/>
      <c r="AP5" s="39"/>
      <c r="AQ5" s="37" t="s">
        <v>100</v>
      </c>
      <c r="AR5" s="38"/>
      <c r="AS5" s="38"/>
      <c r="AT5" s="38"/>
      <c r="AU5" s="39"/>
      <c r="AV5" s="37" t="s">
        <v>103</v>
      </c>
      <c r="AW5" s="38"/>
      <c r="AX5" s="38"/>
      <c r="AY5" s="38"/>
      <c r="AZ5" s="39"/>
      <c r="BA5" s="37" t="s">
        <v>103</v>
      </c>
      <c r="BB5" s="38"/>
      <c r="BC5" s="38"/>
      <c r="BD5" s="38"/>
      <c r="BE5" s="39"/>
      <c r="BF5" s="37" t="s">
        <v>104</v>
      </c>
      <c r="BG5" s="38"/>
      <c r="BH5" s="38"/>
      <c r="BI5" s="38"/>
      <c r="BJ5" s="39"/>
      <c r="BK5" s="37" t="s">
        <v>104</v>
      </c>
      <c r="BL5" s="38"/>
      <c r="BM5" s="38"/>
      <c r="BN5" s="38"/>
      <c r="BO5" s="39"/>
      <c r="BP5" s="37" t="s">
        <v>105</v>
      </c>
      <c r="BQ5" s="38"/>
      <c r="BR5" s="38"/>
      <c r="BS5" s="38"/>
      <c r="BT5" s="39"/>
      <c r="BU5" s="37" t="s">
        <v>105</v>
      </c>
      <c r="BV5" s="38"/>
      <c r="BW5" s="38"/>
      <c r="BX5" s="38"/>
      <c r="BY5" s="39"/>
      <c r="BZ5" s="37" t="s">
        <v>107</v>
      </c>
      <c r="CA5" s="38"/>
      <c r="CB5" s="38"/>
      <c r="CC5" s="38"/>
      <c r="CD5" s="39"/>
      <c r="CE5" s="37" t="s">
        <v>107</v>
      </c>
      <c r="CF5" s="38"/>
      <c r="CG5" s="38"/>
      <c r="CH5" s="38"/>
      <c r="CI5" s="39"/>
      <c r="CJ5" s="37" t="s">
        <v>108</v>
      </c>
      <c r="CK5" s="38"/>
      <c r="CL5" s="38"/>
      <c r="CM5" s="38"/>
      <c r="CN5" s="39"/>
      <c r="CO5" s="37" t="s">
        <v>108</v>
      </c>
      <c r="CP5" s="38"/>
      <c r="CQ5" s="38"/>
      <c r="CR5" s="38"/>
      <c r="CS5" s="39"/>
      <c r="CT5" s="37" t="s">
        <v>109</v>
      </c>
      <c r="CU5" s="38"/>
      <c r="CV5" s="38"/>
      <c r="CW5" s="38"/>
      <c r="CX5" s="39"/>
      <c r="CY5" s="37" t="s">
        <v>109</v>
      </c>
      <c r="CZ5" s="38"/>
      <c r="DA5" s="38"/>
      <c r="DB5" s="38"/>
      <c r="DC5" s="39"/>
      <c r="DD5" s="37" t="s">
        <v>110</v>
      </c>
      <c r="DE5" s="38"/>
      <c r="DF5" s="38"/>
      <c r="DG5" s="38"/>
      <c r="DH5" s="39"/>
      <c r="DI5" s="37" t="s">
        <v>110</v>
      </c>
      <c r="DJ5" s="38"/>
      <c r="DK5" s="38"/>
      <c r="DL5" s="38"/>
      <c r="DM5" s="39"/>
      <c r="DN5" s="37" t="s">
        <v>111</v>
      </c>
      <c r="DO5" s="38"/>
      <c r="DP5" s="38"/>
      <c r="DQ5" s="38"/>
      <c r="DR5" s="39"/>
      <c r="DS5" s="37" t="s">
        <v>111</v>
      </c>
      <c r="DT5" s="38"/>
      <c r="DU5" s="38"/>
      <c r="DV5" s="38"/>
      <c r="DW5" s="38"/>
      <c r="DX5" s="38"/>
      <c r="DY5" s="38"/>
      <c r="DZ5" s="38"/>
      <c r="EA5" s="38"/>
      <c r="EB5" s="38"/>
      <c r="EC5" s="38"/>
      <c r="ED5" s="38"/>
      <c r="EE5" s="38"/>
      <c r="EF5" s="38"/>
      <c r="EG5" s="38"/>
      <c r="EH5" s="38"/>
      <c r="EI5" s="38"/>
      <c r="EJ5" s="38"/>
      <c r="EK5" s="38"/>
      <c r="EL5" s="38"/>
      <c r="EM5" s="38"/>
      <c r="EN5" s="38"/>
      <c r="EO5" s="38"/>
      <c r="EP5" s="38"/>
      <c r="EQ5" s="38"/>
      <c r="ER5" s="38"/>
      <c r="ES5" s="38"/>
      <c r="ET5" s="38"/>
      <c r="EU5" s="38"/>
      <c r="EV5" s="38"/>
      <c r="EW5" s="38"/>
      <c r="EX5" s="38"/>
      <c r="EY5" s="38"/>
      <c r="EZ5" s="38"/>
      <c r="FA5" s="38"/>
      <c r="FB5" s="38"/>
      <c r="FC5" s="38"/>
      <c r="FD5" s="38"/>
      <c r="FE5" s="38"/>
      <c r="FF5" s="38"/>
      <c r="FG5" s="38"/>
      <c r="FH5" s="38"/>
      <c r="FI5" s="38"/>
      <c r="FJ5" s="38"/>
      <c r="FK5" s="38"/>
      <c r="FL5" s="38"/>
      <c r="FM5" s="38"/>
      <c r="FN5" s="38"/>
      <c r="FO5" s="38"/>
      <c r="FP5" s="38"/>
      <c r="FQ5" s="38"/>
      <c r="FR5" s="38"/>
      <c r="FS5" s="38"/>
      <c r="FT5" s="38"/>
      <c r="FU5" s="38"/>
      <c r="FV5" s="38"/>
      <c r="FW5" s="38"/>
      <c r="FX5" s="38"/>
      <c r="FY5" s="38"/>
      <c r="FZ5" s="38"/>
      <c r="GA5" s="38"/>
      <c r="GB5" s="38"/>
      <c r="GC5" s="38"/>
      <c r="GD5" s="38"/>
      <c r="GE5" s="38"/>
      <c r="GF5" s="38"/>
      <c r="GG5" s="38"/>
      <c r="GH5" s="38"/>
      <c r="GI5" s="38"/>
      <c r="GJ5" s="38"/>
      <c r="GK5" s="38"/>
      <c r="GL5" s="38"/>
      <c r="GM5" s="38"/>
      <c r="GN5" s="38"/>
      <c r="GO5" s="38"/>
      <c r="GP5" s="38"/>
      <c r="GQ5" s="38"/>
      <c r="GR5" s="38"/>
      <c r="GS5" s="38"/>
      <c r="GT5" s="38"/>
      <c r="GU5" s="38"/>
      <c r="GV5" s="38"/>
      <c r="GW5" s="38"/>
      <c r="GX5" s="38"/>
      <c r="GY5" s="38"/>
      <c r="GZ5" s="38"/>
      <c r="HA5" s="38"/>
      <c r="HB5" s="38"/>
      <c r="HC5" s="38"/>
      <c r="HD5" s="38"/>
      <c r="HE5" s="38"/>
      <c r="HF5" s="38"/>
      <c r="HG5" s="38"/>
      <c r="HH5" s="38"/>
      <c r="HI5" s="38"/>
      <c r="HJ5" s="38"/>
      <c r="HK5" s="39"/>
      <c r="HL5" s="37" t="s">
        <v>112</v>
      </c>
      <c r="HM5" s="38"/>
      <c r="HN5" s="38"/>
      <c r="HO5" s="38"/>
      <c r="HP5" s="39"/>
      <c r="HQ5" s="44" t="s">
        <v>112</v>
      </c>
      <c r="HR5" s="44"/>
      <c r="HS5" s="44"/>
      <c r="HT5" s="44"/>
      <c r="HU5" s="44"/>
      <c r="HV5" s="44"/>
      <c r="HW5" s="44"/>
      <c r="HX5" s="37" t="s">
        <v>114</v>
      </c>
      <c r="HY5" s="38"/>
      <c r="HZ5" s="38"/>
      <c r="IA5" s="38"/>
      <c r="IB5" s="39"/>
      <c r="IC5" s="37" t="s">
        <v>114</v>
      </c>
      <c r="ID5" s="38"/>
      <c r="IE5" s="38"/>
      <c r="IF5" s="38"/>
      <c r="IG5" s="38"/>
      <c r="IH5" s="37" t="s">
        <v>113</v>
      </c>
      <c r="II5" s="38"/>
      <c r="IJ5" s="38"/>
      <c r="IK5" s="38"/>
      <c r="IL5" s="39"/>
      <c r="IM5" s="37" t="s">
        <v>113</v>
      </c>
      <c r="IN5" s="38"/>
      <c r="IO5" s="38"/>
      <c r="IP5" s="38"/>
      <c r="IQ5" s="38"/>
      <c r="IR5" s="37" t="s">
        <v>115</v>
      </c>
      <c r="IS5" s="38"/>
      <c r="IT5" s="38"/>
      <c r="IU5" s="38"/>
      <c r="IV5" s="39"/>
      <c r="IW5" s="37" t="s">
        <v>115</v>
      </c>
      <c r="IX5" s="38"/>
      <c r="IY5" s="38"/>
      <c r="IZ5" s="38"/>
      <c r="JA5" s="38"/>
      <c r="JB5" s="37" t="s">
        <v>116</v>
      </c>
      <c r="JC5" s="38"/>
      <c r="JD5" s="38"/>
      <c r="JE5" s="38"/>
      <c r="JF5" s="39"/>
      <c r="JG5" s="37" t="s">
        <v>116</v>
      </c>
      <c r="JH5" s="38"/>
      <c r="JI5" s="38"/>
      <c r="JJ5" s="38"/>
      <c r="JK5" s="38"/>
      <c r="JL5" s="37" t="s">
        <v>117</v>
      </c>
      <c r="JM5" s="38"/>
      <c r="JN5" s="38"/>
      <c r="JO5" s="38"/>
      <c r="JP5" s="39"/>
      <c r="JQ5" s="37" t="s">
        <v>117</v>
      </c>
      <c r="JR5" s="38"/>
      <c r="JS5" s="38"/>
      <c r="JT5" s="38"/>
      <c r="JU5" s="38"/>
      <c r="JV5" s="37" t="s">
        <v>118</v>
      </c>
      <c r="JW5" s="38"/>
      <c r="JX5" s="38"/>
      <c r="JY5" s="38"/>
      <c r="JZ5" s="39"/>
      <c r="KA5" s="37" t="s">
        <v>118</v>
      </c>
      <c r="KB5" s="38"/>
      <c r="KC5" s="38"/>
      <c r="KD5" s="38"/>
      <c r="KE5" s="38"/>
      <c r="KF5" s="37" t="s">
        <v>119</v>
      </c>
      <c r="KG5" s="38"/>
      <c r="KH5" s="38"/>
      <c r="KI5" s="38"/>
      <c r="KJ5" s="39"/>
      <c r="KK5" s="37" t="s">
        <v>119</v>
      </c>
      <c r="KL5" s="38"/>
      <c r="KM5" s="38"/>
      <c r="KN5" s="38"/>
      <c r="KO5" s="38"/>
      <c r="KP5" s="37" t="s">
        <v>120</v>
      </c>
      <c r="KQ5" s="38"/>
      <c r="KR5" s="38"/>
      <c r="KS5" s="38"/>
      <c r="KT5" s="39"/>
      <c r="KU5" s="37" t="s">
        <v>120</v>
      </c>
      <c r="KV5" s="38"/>
      <c r="KW5" s="38"/>
      <c r="KX5" s="38"/>
      <c r="KY5" s="38"/>
      <c r="KZ5" s="37" t="s">
        <v>121</v>
      </c>
      <c r="LA5" s="38"/>
      <c r="LB5" s="38"/>
      <c r="LC5" s="38"/>
      <c r="LD5" s="39"/>
      <c r="LE5" s="37" t="s">
        <v>121</v>
      </c>
      <c r="LF5" s="38"/>
      <c r="LG5" s="38"/>
      <c r="LH5" s="38"/>
      <c r="LI5" s="38"/>
      <c r="LJ5" s="4"/>
      <c r="LK5" s="4"/>
      <c r="LL5" s="4"/>
      <c r="LM5" s="4"/>
      <c r="LN5" s="4"/>
      <c r="LO5" s="4"/>
      <c r="LP5" s="4"/>
    </row>
    <row r="6" spans="1:328">
      <c r="A6" s="1"/>
      <c r="B6" s="1"/>
      <c r="C6" s="1"/>
      <c r="D6" s="1"/>
      <c r="E6" s="1"/>
      <c r="F6" s="1"/>
      <c r="G6" s="3" t="s">
        <v>16</v>
      </c>
      <c r="H6" s="23">
        <v>1</v>
      </c>
      <c r="I6" s="23"/>
      <c r="J6" s="23"/>
      <c r="K6" s="23"/>
      <c r="L6" s="23"/>
      <c r="M6" s="23">
        <v>2</v>
      </c>
      <c r="N6" s="23"/>
      <c r="O6" s="23"/>
      <c r="P6" s="23"/>
      <c r="Q6" s="23"/>
      <c r="R6" s="23">
        <v>1</v>
      </c>
      <c r="S6" s="23"/>
      <c r="T6" s="23"/>
      <c r="U6" s="23"/>
      <c r="V6" s="23"/>
      <c r="W6" s="23">
        <v>2</v>
      </c>
      <c r="X6" s="23"/>
      <c r="Y6" s="23"/>
      <c r="Z6" s="23"/>
      <c r="AA6" s="23"/>
      <c r="AB6" s="23">
        <v>1</v>
      </c>
      <c r="AC6" s="23"/>
      <c r="AD6" s="23"/>
      <c r="AE6" s="23"/>
      <c r="AF6" s="23"/>
      <c r="AG6" s="23">
        <v>2</v>
      </c>
      <c r="AH6" s="23"/>
      <c r="AI6" s="23"/>
      <c r="AJ6" s="23"/>
      <c r="AK6" s="23"/>
      <c r="AL6" s="23">
        <v>1</v>
      </c>
      <c r="AM6" s="23"/>
      <c r="AN6" s="23"/>
      <c r="AO6" s="23"/>
      <c r="AP6" s="23"/>
      <c r="AQ6" s="23">
        <v>2</v>
      </c>
      <c r="AR6" s="23"/>
      <c r="AS6" s="23"/>
      <c r="AT6" s="23"/>
      <c r="AU6" s="23"/>
      <c r="AV6" s="23">
        <v>1</v>
      </c>
      <c r="AW6" s="23"/>
      <c r="AX6" s="23"/>
      <c r="AY6" s="23"/>
      <c r="AZ6" s="23"/>
      <c r="BA6" s="23">
        <v>2</v>
      </c>
      <c r="BB6" s="23"/>
      <c r="BC6" s="23"/>
      <c r="BD6" s="23"/>
      <c r="BE6" s="23"/>
      <c r="BF6" s="23">
        <v>1</v>
      </c>
      <c r="BG6" s="23"/>
      <c r="BH6" s="23"/>
      <c r="BI6" s="23"/>
      <c r="BJ6" s="23"/>
      <c r="BK6" s="23">
        <v>2</v>
      </c>
      <c r="BL6" s="23"/>
      <c r="BM6" s="23"/>
      <c r="BN6" s="23"/>
      <c r="BO6" s="23"/>
      <c r="BP6" s="23">
        <v>1</v>
      </c>
      <c r="BQ6" s="23"/>
      <c r="BR6" s="23"/>
      <c r="BS6" s="23"/>
      <c r="BT6" s="23"/>
      <c r="BU6" s="23">
        <v>2</v>
      </c>
      <c r="BV6" s="23"/>
      <c r="BW6" s="23"/>
      <c r="BX6" s="23"/>
      <c r="BY6" s="23"/>
      <c r="BZ6" s="40">
        <v>1</v>
      </c>
      <c r="CA6" s="41"/>
      <c r="CB6" s="41"/>
      <c r="CC6" s="41"/>
      <c r="CD6" s="42"/>
      <c r="CE6" s="40">
        <v>2</v>
      </c>
      <c r="CF6" s="41"/>
      <c r="CG6" s="41"/>
      <c r="CH6" s="41"/>
      <c r="CI6" s="42"/>
      <c r="CJ6" s="40">
        <v>1</v>
      </c>
      <c r="CK6" s="41"/>
      <c r="CL6" s="41"/>
      <c r="CM6" s="41"/>
      <c r="CN6" s="42"/>
      <c r="CO6" s="40">
        <v>2</v>
      </c>
      <c r="CP6" s="41"/>
      <c r="CQ6" s="41"/>
      <c r="CR6" s="41"/>
      <c r="CS6" s="42"/>
      <c r="CT6" s="40">
        <v>1</v>
      </c>
      <c r="CU6" s="41"/>
      <c r="CV6" s="41"/>
      <c r="CW6" s="41"/>
      <c r="CX6" s="42"/>
      <c r="CY6" s="40">
        <v>2</v>
      </c>
      <c r="CZ6" s="41"/>
      <c r="DA6" s="41"/>
      <c r="DB6" s="41"/>
      <c r="DC6" s="42"/>
      <c r="DD6" s="40">
        <v>1</v>
      </c>
      <c r="DE6" s="41"/>
      <c r="DF6" s="41"/>
      <c r="DG6" s="41"/>
      <c r="DH6" s="42"/>
      <c r="DI6" s="40">
        <v>2</v>
      </c>
      <c r="DJ6" s="41"/>
      <c r="DK6" s="41"/>
      <c r="DL6" s="41"/>
      <c r="DM6" s="42"/>
      <c r="DN6" s="40">
        <v>1</v>
      </c>
      <c r="DO6" s="41"/>
      <c r="DP6" s="41"/>
      <c r="DQ6" s="41"/>
      <c r="DR6" s="42"/>
      <c r="DS6" s="40">
        <v>2</v>
      </c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  <c r="EY6" s="41"/>
      <c r="EZ6" s="41"/>
      <c r="FA6" s="41"/>
      <c r="FB6" s="41"/>
      <c r="FC6" s="41"/>
      <c r="FD6" s="41"/>
      <c r="FE6" s="41"/>
      <c r="FF6" s="41"/>
      <c r="FG6" s="41"/>
      <c r="FH6" s="41"/>
      <c r="FI6" s="41"/>
      <c r="FJ6" s="41"/>
      <c r="FK6" s="41"/>
      <c r="FL6" s="41"/>
      <c r="FM6" s="41"/>
      <c r="FN6" s="41"/>
      <c r="FO6" s="41"/>
      <c r="FP6" s="41"/>
      <c r="FQ6" s="41"/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2"/>
      <c r="HL6" s="40">
        <v>1</v>
      </c>
      <c r="HM6" s="41"/>
      <c r="HN6" s="41"/>
      <c r="HO6" s="41"/>
      <c r="HP6" s="42"/>
      <c r="HQ6" s="23">
        <v>2</v>
      </c>
      <c r="HR6" s="23"/>
      <c r="HS6" s="23"/>
      <c r="HT6" s="23"/>
      <c r="HU6" s="23"/>
      <c r="HV6" s="23"/>
      <c r="HW6" s="23"/>
      <c r="HX6" s="40">
        <v>1</v>
      </c>
      <c r="HY6" s="41"/>
      <c r="HZ6" s="41"/>
      <c r="IA6" s="41"/>
      <c r="IB6" s="42"/>
      <c r="IC6" s="40">
        <v>2</v>
      </c>
      <c r="ID6" s="41"/>
      <c r="IE6" s="41"/>
      <c r="IF6" s="41"/>
      <c r="IG6" s="41"/>
      <c r="IH6" s="40">
        <v>1</v>
      </c>
      <c r="II6" s="41"/>
      <c r="IJ6" s="41"/>
      <c r="IK6" s="41"/>
      <c r="IL6" s="42"/>
      <c r="IM6" s="40">
        <v>2</v>
      </c>
      <c r="IN6" s="41"/>
      <c r="IO6" s="41"/>
      <c r="IP6" s="41"/>
      <c r="IQ6" s="41"/>
      <c r="IR6" s="40">
        <v>1</v>
      </c>
      <c r="IS6" s="41"/>
      <c r="IT6" s="41"/>
      <c r="IU6" s="41"/>
      <c r="IV6" s="42"/>
      <c r="IW6" s="40">
        <v>2</v>
      </c>
      <c r="IX6" s="41"/>
      <c r="IY6" s="41"/>
      <c r="IZ6" s="41"/>
      <c r="JA6" s="41"/>
      <c r="JB6" s="40">
        <v>1</v>
      </c>
      <c r="JC6" s="41"/>
      <c r="JD6" s="41"/>
      <c r="JE6" s="41"/>
      <c r="JF6" s="42"/>
      <c r="JG6" s="40">
        <v>2</v>
      </c>
      <c r="JH6" s="41"/>
      <c r="JI6" s="41"/>
      <c r="JJ6" s="41"/>
      <c r="JK6" s="41"/>
      <c r="JL6" s="40">
        <v>1</v>
      </c>
      <c r="JM6" s="41"/>
      <c r="JN6" s="41"/>
      <c r="JO6" s="41"/>
      <c r="JP6" s="42"/>
      <c r="JQ6" s="40">
        <v>2</v>
      </c>
      <c r="JR6" s="41"/>
      <c r="JS6" s="41"/>
      <c r="JT6" s="41"/>
      <c r="JU6" s="41"/>
      <c r="JV6" s="40">
        <v>1</v>
      </c>
      <c r="JW6" s="41"/>
      <c r="JX6" s="41"/>
      <c r="JY6" s="41"/>
      <c r="JZ6" s="42"/>
      <c r="KA6" s="40">
        <v>2</v>
      </c>
      <c r="KB6" s="41"/>
      <c r="KC6" s="41"/>
      <c r="KD6" s="41"/>
      <c r="KE6" s="41"/>
      <c r="KF6" s="40">
        <v>1</v>
      </c>
      <c r="KG6" s="41"/>
      <c r="KH6" s="41"/>
      <c r="KI6" s="41"/>
      <c r="KJ6" s="42"/>
      <c r="KK6" s="40">
        <v>2</v>
      </c>
      <c r="KL6" s="41"/>
      <c r="KM6" s="41"/>
      <c r="KN6" s="41"/>
      <c r="KO6" s="41"/>
      <c r="KP6" s="40">
        <v>1</v>
      </c>
      <c r="KQ6" s="41"/>
      <c r="KR6" s="41"/>
      <c r="KS6" s="41"/>
      <c r="KT6" s="42"/>
      <c r="KU6" s="40">
        <v>2</v>
      </c>
      <c r="KV6" s="41"/>
      <c r="KW6" s="41"/>
      <c r="KX6" s="41"/>
      <c r="KY6" s="41"/>
      <c r="KZ6" s="40">
        <v>1</v>
      </c>
      <c r="LA6" s="41"/>
      <c r="LB6" s="41"/>
      <c r="LC6" s="41"/>
      <c r="LD6" s="42"/>
      <c r="LE6" s="40">
        <v>2</v>
      </c>
      <c r="LF6" s="41"/>
      <c r="LG6" s="41"/>
      <c r="LH6" s="41"/>
      <c r="LI6" s="41"/>
      <c r="LJ6" s="4"/>
      <c r="LK6" s="4"/>
      <c r="LL6" s="4"/>
      <c r="LM6" s="18" t="s">
        <v>12</v>
      </c>
      <c r="LN6" s="18" t="s">
        <v>122</v>
      </c>
      <c r="LO6" s="18" t="s">
        <v>123</v>
      </c>
      <c r="LP6" s="18" t="s">
        <v>123</v>
      </c>
    </row>
    <row r="7" spans="1:328" ht="20.100000000000001" customHeight="1">
      <c r="A7" s="26" t="s">
        <v>17</v>
      </c>
      <c r="B7" s="27" t="s">
        <v>18</v>
      </c>
      <c r="C7" s="28" t="s">
        <v>19</v>
      </c>
      <c r="D7" s="26" t="s">
        <v>20</v>
      </c>
      <c r="E7" s="23" t="s">
        <v>21</v>
      </c>
      <c r="F7" s="23"/>
      <c r="G7" s="23"/>
      <c r="H7" s="23" t="s">
        <v>22</v>
      </c>
      <c r="I7" s="23" t="s">
        <v>23</v>
      </c>
      <c r="J7" s="23" t="s">
        <v>24</v>
      </c>
      <c r="K7" s="24" t="s">
        <v>25</v>
      </c>
      <c r="L7" s="24" t="s">
        <v>26</v>
      </c>
      <c r="M7" s="23" t="s">
        <v>22</v>
      </c>
      <c r="N7" s="23" t="s">
        <v>23</v>
      </c>
      <c r="O7" s="23" t="s">
        <v>24</v>
      </c>
      <c r="P7" s="24" t="s">
        <v>25</v>
      </c>
      <c r="Q7" s="24" t="s">
        <v>26</v>
      </c>
      <c r="R7" s="23" t="s">
        <v>22</v>
      </c>
      <c r="S7" s="23" t="s">
        <v>23</v>
      </c>
      <c r="T7" s="23" t="s">
        <v>24</v>
      </c>
      <c r="U7" s="24" t="s">
        <v>25</v>
      </c>
      <c r="V7" s="24" t="s">
        <v>26</v>
      </c>
      <c r="W7" s="23" t="s">
        <v>22</v>
      </c>
      <c r="X7" s="23" t="s">
        <v>23</v>
      </c>
      <c r="Y7" s="23" t="s">
        <v>24</v>
      </c>
      <c r="Z7" s="24" t="s">
        <v>25</v>
      </c>
      <c r="AA7" s="24" t="s">
        <v>26</v>
      </c>
      <c r="AB7" s="23" t="s">
        <v>22</v>
      </c>
      <c r="AC7" s="23" t="s">
        <v>23</v>
      </c>
      <c r="AD7" s="23" t="s">
        <v>24</v>
      </c>
      <c r="AE7" s="24" t="s">
        <v>25</v>
      </c>
      <c r="AF7" s="24" t="s">
        <v>26</v>
      </c>
      <c r="AG7" s="23" t="s">
        <v>22</v>
      </c>
      <c r="AH7" s="23" t="s">
        <v>23</v>
      </c>
      <c r="AI7" s="23" t="s">
        <v>24</v>
      </c>
      <c r="AJ7" s="24" t="s">
        <v>25</v>
      </c>
      <c r="AK7" s="24" t="s">
        <v>26</v>
      </c>
      <c r="AL7" s="23" t="s">
        <v>22</v>
      </c>
      <c r="AM7" s="23" t="s">
        <v>23</v>
      </c>
      <c r="AN7" s="23" t="s">
        <v>24</v>
      </c>
      <c r="AO7" s="24" t="s">
        <v>25</v>
      </c>
      <c r="AP7" s="24" t="s">
        <v>26</v>
      </c>
      <c r="AQ7" s="23" t="s">
        <v>22</v>
      </c>
      <c r="AR7" s="23" t="s">
        <v>23</v>
      </c>
      <c r="AS7" s="23" t="s">
        <v>24</v>
      </c>
      <c r="AT7" s="24" t="s">
        <v>25</v>
      </c>
      <c r="AU7" s="24" t="s">
        <v>26</v>
      </c>
      <c r="AV7" s="23" t="s">
        <v>22</v>
      </c>
      <c r="AW7" s="23" t="s">
        <v>23</v>
      </c>
      <c r="AX7" s="23" t="s">
        <v>24</v>
      </c>
      <c r="AY7" s="24" t="s">
        <v>25</v>
      </c>
      <c r="AZ7" s="24" t="s">
        <v>26</v>
      </c>
      <c r="BA7" s="23" t="s">
        <v>22</v>
      </c>
      <c r="BB7" s="23" t="s">
        <v>23</v>
      </c>
      <c r="BC7" s="23" t="s">
        <v>24</v>
      </c>
      <c r="BD7" s="24" t="s">
        <v>25</v>
      </c>
      <c r="BE7" s="24" t="s">
        <v>26</v>
      </c>
      <c r="BF7" s="23" t="s">
        <v>22</v>
      </c>
      <c r="BG7" s="23" t="s">
        <v>23</v>
      </c>
      <c r="BH7" s="23" t="s">
        <v>24</v>
      </c>
      <c r="BI7" s="24" t="s">
        <v>25</v>
      </c>
      <c r="BJ7" s="24" t="s">
        <v>26</v>
      </c>
      <c r="BK7" s="23" t="s">
        <v>22</v>
      </c>
      <c r="BL7" s="23" t="s">
        <v>23</v>
      </c>
      <c r="BM7" s="23" t="s">
        <v>24</v>
      </c>
      <c r="BN7" s="24" t="s">
        <v>25</v>
      </c>
      <c r="BO7" s="24" t="s">
        <v>26</v>
      </c>
      <c r="BP7" s="23" t="s">
        <v>22</v>
      </c>
      <c r="BQ7" s="23" t="s">
        <v>23</v>
      </c>
      <c r="BR7" s="23" t="s">
        <v>24</v>
      </c>
      <c r="BS7" s="24" t="s">
        <v>25</v>
      </c>
      <c r="BT7" s="24" t="s">
        <v>26</v>
      </c>
      <c r="BU7" s="23" t="s">
        <v>22</v>
      </c>
      <c r="BV7" s="23" t="s">
        <v>23</v>
      </c>
      <c r="BW7" s="23" t="s">
        <v>24</v>
      </c>
      <c r="BX7" s="24" t="s">
        <v>25</v>
      </c>
      <c r="BY7" s="24" t="s">
        <v>26</v>
      </c>
      <c r="BZ7" s="24" t="s">
        <v>22</v>
      </c>
      <c r="CA7" s="24" t="s">
        <v>23</v>
      </c>
      <c r="CB7" s="24" t="s">
        <v>24</v>
      </c>
      <c r="CC7" s="24" t="s">
        <v>25</v>
      </c>
      <c r="CD7" s="24" t="s">
        <v>26</v>
      </c>
      <c r="CE7" s="24" t="s">
        <v>22</v>
      </c>
      <c r="CF7" s="24" t="s">
        <v>23</v>
      </c>
      <c r="CG7" s="24" t="s">
        <v>24</v>
      </c>
      <c r="CH7" s="24" t="s">
        <v>25</v>
      </c>
      <c r="CI7" s="24" t="s">
        <v>26</v>
      </c>
      <c r="CJ7" s="24" t="s">
        <v>22</v>
      </c>
      <c r="CK7" s="24" t="s">
        <v>23</v>
      </c>
      <c r="CL7" s="24" t="s">
        <v>24</v>
      </c>
      <c r="CM7" s="24" t="s">
        <v>25</v>
      </c>
      <c r="CN7" s="24" t="s">
        <v>26</v>
      </c>
      <c r="CO7" s="24" t="s">
        <v>22</v>
      </c>
      <c r="CP7" s="24" t="s">
        <v>23</v>
      </c>
      <c r="CQ7" s="24" t="s">
        <v>24</v>
      </c>
      <c r="CR7" s="24" t="s">
        <v>25</v>
      </c>
      <c r="CS7" s="24" t="s">
        <v>26</v>
      </c>
      <c r="CT7" s="24" t="s">
        <v>22</v>
      </c>
      <c r="CU7" s="24" t="s">
        <v>23</v>
      </c>
      <c r="CV7" s="24" t="s">
        <v>24</v>
      </c>
      <c r="CW7" s="24" t="s">
        <v>25</v>
      </c>
      <c r="CX7" s="24" t="s">
        <v>26</v>
      </c>
      <c r="CY7" s="24" t="s">
        <v>22</v>
      </c>
      <c r="CZ7" s="24" t="s">
        <v>23</v>
      </c>
      <c r="DA7" s="24" t="s">
        <v>24</v>
      </c>
      <c r="DB7" s="24" t="s">
        <v>25</v>
      </c>
      <c r="DC7" s="24" t="s">
        <v>26</v>
      </c>
      <c r="DD7" s="24" t="s">
        <v>22</v>
      </c>
      <c r="DE7" s="24" t="s">
        <v>23</v>
      </c>
      <c r="DF7" s="24" t="s">
        <v>24</v>
      </c>
      <c r="DG7" s="24" t="s">
        <v>25</v>
      </c>
      <c r="DH7" s="24" t="s">
        <v>26</v>
      </c>
      <c r="DI7" s="24" t="s">
        <v>22</v>
      </c>
      <c r="DJ7" s="24" t="s">
        <v>23</v>
      </c>
      <c r="DK7" s="24" t="s">
        <v>24</v>
      </c>
      <c r="DL7" s="24" t="s">
        <v>25</v>
      </c>
      <c r="DM7" s="24" t="s">
        <v>26</v>
      </c>
      <c r="DN7" s="24" t="s">
        <v>22</v>
      </c>
      <c r="DO7" s="24" t="s">
        <v>23</v>
      </c>
      <c r="DP7" s="24" t="s">
        <v>24</v>
      </c>
      <c r="DQ7" s="24" t="s">
        <v>25</v>
      </c>
      <c r="DR7" s="24" t="s">
        <v>26</v>
      </c>
      <c r="DS7" s="24" t="s">
        <v>22</v>
      </c>
      <c r="DT7" s="24" t="s">
        <v>23</v>
      </c>
      <c r="DU7" s="24" t="s">
        <v>24</v>
      </c>
      <c r="DV7" s="24" t="s">
        <v>25</v>
      </c>
      <c r="DW7" s="24" t="s">
        <v>26</v>
      </c>
      <c r="DX7" s="24" t="s">
        <v>22</v>
      </c>
      <c r="DY7" s="24" t="s">
        <v>23</v>
      </c>
      <c r="DZ7" s="24" t="s">
        <v>24</v>
      </c>
      <c r="EA7" s="24" t="s">
        <v>25</v>
      </c>
      <c r="EB7" s="24" t="s">
        <v>26</v>
      </c>
      <c r="EC7" s="24" t="s">
        <v>22</v>
      </c>
      <c r="ED7" s="24" t="s">
        <v>23</v>
      </c>
      <c r="EE7" s="24" t="s">
        <v>24</v>
      </c>
      <c r="EF7" s="24" t="s">
        <v>25</v>
      </c>
      <c r="EG7" s="24" t="s">
        <v>26</v>
      </c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  <c r="GS7" s="4"/>
      <c r="GT7" s="4"/>
      <c r="GU7" s="4"/>
      <c r="GV7" s="4"/>
      <c r="GW7" s="4"/>
      <c r="GX7" s="4"/>
      <c r="GY7" s="4"/>
      <c r="GZ7" s="4"/>
      <c r="HA7" s="4"/>
      <c r="HB7" s="4"/>
      <c r="HC7" s="4"/>
      <c r="HD7" s="4"/>
      <c r="HE7" s="4"/>
      <c r="HF7" s="4"/>
      <c r="HG7" s="4"/>
      <c r="HH7" s="24" t="s">
        <v>23</v>
      </c>
      <c r="HI7" s="24" t="s">
        <v>24</v>
      </c>
      <c r="HJ7" s="24" t="s">
        <v>25</v>
      </c>
      <c r="HK7" s="24" t="s">
        <v>26</v>
      </c>
      <c r="HL7" s="24" t="s">
        <v>22</v>
      </c>
      <c r="HM7" s="24" t="s">
        <v>23</v>
      </c>
      <c r="HN7" s="24" t="s">
        <v>24</v>
      </c>
      <c r="HO7" s="24" t="s">
        <v>25</v>
      </c>
      <c r="HP7" s="24" t="s">
        <v>26</v>
      </c>
      <c r="HQ7" s="24" t="s">
        <v>22</v>
      </c>
      <c r="HR7" s="24" t="s">
        <v>23</v>
      </c>
      <c r="HS7" s="24" t="s">
        <v>24</v>
      </c>
      <c r="HT7" s="24" t="s">
        <v>23</v>
      </c>
      <c r="HU7" s="24" t="s">
        <v>24</v>
      </c>
      <c r="HV7" s="24" t="s">
        <v>25</v>
      </c>
      <c r="HW7" s="24" t="s">
        <v>26</v>
      </c>
      <c r="HX7" s="24" t="s">
        <v>22</v>
      </c>
      <c r="HY7" s="24" t="s">
        <v>23</v>
      </c>
      <c r="HZ7" s="24" t="s">
        <v>24</v>
      </c>
      <c r="IA7" s="24" t="s">
        <v>25</v>
      </c>
      <c r="IB7" s="24" t="s">
        <v>26</v>
      </c>
      <c r="IC7" s="24" t="s">
        <v>22</v>
      </c>
      <c r="ID7" s="24" t="s">
        <v>23</v>
      </c>
      <c r="IE7" s="24" t="s">
        <v>24</v>
      </c>
      <c r="IF7" s="24" t="s">
        <v>25</v>
      </c>
      <c r="IG7" s="24" t="s">
        <v>26</v>
      </c>
      <c r="IH7" s="24" t="s">
        <v>22</v>
      </c>
      <c r="II7" s="24" t="s">
        <v>23</v>
      </c>
      <c r="IJ7" s="23" t="s">
        <v>24</v>
      </c>
      <c r="IK7" s="23" t="s">
        <v>25</v>
      </c>
      <c r="IL7" s="23" t="s">
        <v>26</v>
      </c>
      <c r="IM7" s="23" t="s">
        <v>22</v>
      </c>
      <c r="IN7" s="23" t="s">
        <v>23</v>
      </c>
      <c r="IO7" s="23" t="s">
        <v>24</v>
      </c>
      <c r="IP7" s="23" t="s">
        <v>25</v>
      </c>
      <c r="IQ7" s="23" t="s">
        <v>26</v>
      </c>
      <c r="IR7" s="24" t="s">
        <v>22</v>
      </c>
      <c r="IS7" s="24" t="s">
        <v>23</v>
      </c>
      <c r="IT7" s="23" t="s">
        <v>24</v>
      </c>
      <c r="IU7" s="23" t="s">
        <v>25</v>
      </c>
      <c r="IV7" s="23" t="s">
        <v>26</v>
      </c>
      <c r="IW7" s="23" t="s">
        <v>22</v>
      </c>
      <c r="IX7" s="23" t="s">
        <v>23</v>
      </c>
      <c r="IY7" s="23" t="s">
        <v>24</v>
      </c>
      <c r="IZ7" s="23" t="s">
        <v>25</v>
      </c>
      <c r="JA7" s="23" t="s">
        <v>26</v>
      </c>
      <c r="JB7" s="24" t="s">
        <v>22</v>
      </c>
      <c r="JC7" s="24" t="s">
        <v>23</v>
      </c>
      <c r="JD7" s="23" t="s">
        <v>24</v>
      </c>
      <c r="JE7" s="23" t="s">
        <v>25</v>
      </c>
      <c r="JF7" s="23" t="s">
        <v>26</v>
      </c>
      <c r="JG7" s="23" t="s">
        <v>22</v>
      </c>
      <c r="JH7" s="23" t="s">
        <v>23</v>
      </c>
      <c r="JI7" s="23" t="s">
        <v>24</v>
      </c>
      <c r="JJ7" s="23" t="s">
        <v>25</v>
      </c>
      <c r="JK7" s="23" t="s">
        <v>26</v>
      </c>
      <c r="JL7" s="24" t="s">
        <v>22</v>
      </c>
      <c r="JM7" s="24" t="s">
        <v>23</v>
      </c>
      <c r="JN7" s="23" t="s">
        <v>24</v>
      </c>
      <c r="JO7" s="23" t="s">
        <v>25</v>
      </c>
      <c r="JP7" s="23" t="s">
        <v>26</v>
      </c>
      <c r="JQ7" s="23" t="s">
        <v>22</v>
      </c>
      <c r="JR7" s="23" t="s">
        <v>23</v>
      </c>
      <c r="JS7" s="23" t="s">
        <v>24</v>
      </c>
      <c r="JT7" s="23" t="s">
        <v>25</v>
      </c>
      <c r="JU7" s="23" t="s">
        <v>26</v>
      </c>
      <c r="JV7" s="24" t="s">
        <v>22</v>
      </c>
      <c r="JW7" s="24" t="s">
        <v>23</v>
      </c>
      <c r="JX7" s="23" t="s">
        <v>24</v>
      </c>
      <c r="JY7" s="23" t="s">
        <v>25</v>
      </c>
      <c r="JZ7" s="23" t="s">
        <v>26</v>
      </c>
      <c r="KA7" s="23" t="s">
        <v>22</v>
      </c>
      <c r="KB7" s="23" t="s">
        <v>23</v>
      </c>
      <c r="KC7" s="23" t="s">
        <v>24</v>
      </c>
      <c r="KD7" s="23" t="s">
        <v>25</v>
      </c>
      <c r="KE7" s="23" t="s">
        <v>26</v>
      </c>
      <c r="KF7" s="24" t="s">
        <v>22</v>
      </c>
      <c r="KG7" s="24" t="s">
        <v>23</v>
      </c>
      <c r="KH7" s="23" t="s">
        <v>24</v>
      </c>
      <c r="KI7" s="23" t="s">
        <v>25</v>
      </c>
      <c r="KJ7" s="23" t="s">
        <v>26</v>
      </c>
      <c r="KK7" s="23" t="s">
        <v>22</v>
      </c>
      <c r="KL7" s="23" t="s">
        <v>23</v>
      </c>
      <c r="KM7" s="23" t="s">
        <v>24</v>
      </c>
      <c r="KN7" s="23" t="s">
        <v>25</v>
      </c>
      <c r="KO7" s="23" t="s">
        <v>26</v>
      </c>
      <c r="KP7" s="24" t="s">
        <v>22</v>
      </c>
      <c r="KQ7" s="24" t="s">
        <v>23</v>
      </c>
      <c r="KR7" s="23" t="s">
        <v>24</v>
      </c>
      <c r="KS7" s="23" t="s">
        <v>25</v>
      </c>
      <c r="KT7" s="23" t="s">
        <v>26</v>
      </c>
      <c r="KU7" s="23" t="s">
        <v>22</v>
      </c>
      <c r="KV7" s="23" t="s">
        <v>23</v>
      </c>
      <c r="KW7" s="23" t="s">
        <v>24</v>
      </c>
      <c r="KX7" s="23" t="s">
        <v>25</v>
      </c>
      <c r="KY7" s="23" t="s">
        <v>26</v>
      </c>
      <c r="KZ7" s="24" t="s">
        <v>22</v>
      </c>
      <c r="LA7" s="24" t="s">
        <v>23</v>
      </c>
      <c r="LB7" s="23" t="s">
        <v>24</v>
      </c>
      <c r="LC7" s="23" t="s">
        <v>25</v>
      </c>
      <c r="LD7" s="23" t="s">
        <v>26</v>
      </c>
      <c r="LE7" s="23" t="s">
        <v>22</v>
      </c>
      <c r="LF7" s="23" t="s">
        <v>23</v>
      </c>
      <c r="LG7" s="23" t="s">
        <v>24</v>
      </c>
      <c r="LH7" s="23" t="s">
        <v>25</v>
      </c>
      <c r="LI7" s="23" t="s">
        <v>26</v>
      </c>
      <c r="LJ7" s="4">
        <f>COUNT(H9:CD9)</f>
        <v>25</v>
      </c>
      <c r="LK7" s="6">
        <f>AVERAGE(H9:CD9)</f>
        <v>57.018600000000006</v>
      </c>
      <c r="LL7" s="2">
        <f>STDEVA(H9:CD9)</f>
        <v>7.1530879112916375E-3</v>
      </c>
      <c r="LM7" s="7">
        <f>(E9-F9)/(6*LL7)</f>
        <v>1.0717981886625783</v>
      </c>
      <c r="LN7" s="7">
        <f>(E9-LK7)/(3*LL7)</f>
        <v>1.2768378421455446</v>
      </c>
      <c r="LO7" s="7">
        <f>(LK7-F9)/(3*LL7)</f>
        <v>0.86675853517961199</v>
      </c>
      <c r="LP7" s="7">
        <f t="shared" ref="LP7:LP74" si="0">MIN(LN7:LO7)</f>
        <v>0.86675853517961199</v>
      </c>
    </row>
    <row r="8" spans="1:328" ht="20.100000000000001" customHeight="1">
      <c r="A8" s="26"/>
      <c r="B8" s="27"/>
      <c r="C8" s="29"/>
      <c r="D8" s="26"/>
      <c r="E8" s="4" t="s">
        <v>27</v>
      </c>
      <c r="F8" s="4" t="s">
        <v>28</v>
      </c>
      <c r="G8" s="4" t="s">
        <v>29</v>
      </c>
      <c r="H8" s="23"/>
      <c r="I8" s="23"/>
      <c r="J8" s="23"/>
      <c r="K8" s="25"/>
      <c r="L8" s="25"/>
      <c r="M8" s="23"/>
      <c r="N8" s="23"/>
      <c r="O8" s="23"/>
      <c r="P8" s="25"/>
      <c r="Q8" s="25"/>
      <c r="R8" s="23"/>
      <c r="S8" s="23"/>
      <c r="T8" s="23"/>
      <c r="U8" s="25"/>
      <c r="V8" s="25"/>
      <c r="W8" s="23"/>
      <c r="X8" s="23"/>
      <c r="Y8" s="23"/>
      <c r="Z8" s="25"/>
      <c r="AA8" s="25"/>
      <c r="AB8" s="23"/>
      <c r="AC8" s="23"/>
      <c r="AD8" s="23"/>
      <c r="AE8" s="25"/>
      <c r="AF8" s="25"/>
      <c r="AG8" s="23"/>
      <c r="AH8" s="23"/>
      <c r="AI8" s="23"/>
      <c r="AJ8" s="25"/>
      <c r="AK8" s="25"/>
      <c r="AL8" s="23"/>
      <c r="AM8" s="23"/>
      <c r="AN8" s="23"/>
      <c r="AO8" s="25"/>
      <c r="AP8" s="25"/>
      <c r="AQ8" s="23"/>
      <c r="AR8" s="23"/>
      <c r="AS8" s="23"/>
      <c r="AT8" s="25"/>
      <c r="AU8" s="25"/>
      <c r="AV8" s="23"/>
      <c r="AW8" s="23"/>
      <c r="AX8" s="23"/>
      <c r="AY8" s="25"/>
      <c r="AZ8" s="25"/>
      <c r="BA8" s="23"/>
      <c r="BB8" s="23"/>
      <c r="BC8" s="23"/>
      <c r="BD8" s="25"/>
      <c r="BE8" s="25"/>
      <c r="BF8" s="23"/>
      <c r="BG8" s="23"/>
      <c r="BH8" s="23"/>
      <c r="BI8" s="25"/>
      <c r="BJ8" s="25"/>
      <c r="BK8" s="23"/>
      <c r="BL8" s="23"/>
      <c r="BM8" s="23"/>
      <c r="BN8" s="25"/>
      <c r="BO8" s="25"/>
      <c r="BP8" s="23"/>
      <c r="BQ8" s="23"/>
      <c r="BR8" s="23"/>
      <c r="BS8" s="25"/>
      <c r="BT8" s="25"/>
      <c r="BU8" s="23"/>
      <c r="BV8" s="23"/>
      <c r="BW8" s="23"/>
      <c r="BX8" s="25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  <c r="CP8" s="25"/>
      <c r="CQ8" s="25"/>
      <c r="CR8" s="25"/>
      <c r="CS8" s="25"/>
      <c r="CT8" s="25"/>
      <c r="CU8" s="25"/>
      <c r="CV8" s="25"/>
      <c r="CW8" s="25"/>
      <c r="CX8" s="25"/>
      <c r="CY8" s="25"/>
      <c r="CZ8" s="25"/>
      <c r="DA8" s="25"/>
      <c r="DB8" s="25"/>
      <c r="DC8" s="25"/>
      <c r="DD8" s="25"/>
      <c r="DE8" s="25"/>
      <c r="DF8" s="25"/>
      <c r="DG8" s="25"/>
      <c r="DH8" s="25"/>
      <c r="DI8" s="25"/>
      <c r="DJ8" s="25"/>
      <c r="DK8" s="25"/>
      <c r="DL8" s="25"/>
      <c r="DM8" s="25"/>
      <c r="DN8" s="25"/>
      <c r="DO8" s="25"/>
      <c r="DP8" s="25"/>
      <c r="DQ8" s="25"/>
      <c r="DR8" s="25"/>
      <c r="DS8" s="25"/>
      <c r="DT8" s="25"/>
      <c r="DU8" s="25"/>
      <c r="DV8" s="25"/>
      <c r="DW8" s="25"/>
      <c r="DX8" s="25"/>
      <c r="DY8" s="25"/>
      <c r="DZ8" s="25"/>
      <c r="EA8" s="25"/>
      <c r="EB8" s="25"/>
      <c r="EC8" s="25"/>
      <c r="ED8" s="25"/>
      <c r="EE8" s="25"/>
      <c r="EF8" s="25"/>
      <c r="EG8" s="25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  <c r="GX8" s="4"/>
      <c r="GY8" s="4"/>
      <c r="GZ8" s="4"/>
      <c r="HA8" s="4"/>
      <c r="HB8" s="4"/>
      <c r="HC8" s="4"/>
      <c r="HD8" s="4"/>
      <c r="HE8" s="4"/>
      <c r="HF8" s="4"/>
      <c r="HG8" s="4"/>
      <c r="HH8" s="25"/>
      <c r="HI8" s="25"/>
      <c r="HJ8" s="25"/>
      <c r="HK8" s="25"/>
      <c r="HL8" s="25"/>
      <c r="HM8" s="25"/>
      <c r="HN8" s="43"/>
      <c r="HO8" s="43"/>
      <c r="HP8" s="43"/>
      <c r="HQ8" s="43"/>
      <c r="HR8" s="43"/>
      <c r="HS8" s="43"/>
      <c r="HT8" s="43"/>
      <c r="HU8" s="43"/>
      <c r="HV8" s="43"/>
      <c r="HW8" s="43"/>
      <c r="HX8" s="43"/>
      <c r="HY8" s="43"/>
      <c r="HZ8" s="43"/>
      <c r="IA8" s="43"/>
      <c r="IB8" s="43"/>
      <c r="IC8" s="43"/>
      <c r="ID8" s="43"/>
      <c r="IE8" s="43"/>
      <c r="IF8" s="43"/>
      <c r="IG8" s="43"/>
      <c r="IH8" s="25"/>
      <c r="II8" s="25"/>
      <c r="IJ8" s="23"/>
      <c r="IK8" s="23"/>
      <c r="IL8" s="23"/>
      <c r="IM8" s="23"/>
      <c r="IN8" s="23"/>
      <c r="IO8" s="23"/>
      <c r="IP8" s="23"/>
      <c r="IQ8" s="23"/>
      <c r="IR8" s="25"/>
      <c r="IS8" s="25"/>
      <c r="IT8" s="23"/>
      <c r="IU8" s="23"/>
      <c r="IV8" s="23"/>
      <c r="IW8" s="23"/>
      <c r="IX8" s="23"/>
      <c r="IY8" s="23"/>
      <c r="IZ8" s="23"/>
      <c r="JA8" s="23"/>
      <c r="JB8" s="25"/>
      <c r="JC8" s="25"/>
      <c r="JD8" s="23"/>
      <c r="JE8" s="23"/>
      <c r="JF8" s="23"/>
      <c r="JG8" s="23"/>
      <c r="JH8" s="23"/>
      <c r="JI8" s="23"/>
      <c r="JJ8" s="23"/>
      <c r="JK8" s="23"/>
      <c r="JL8" s="25"/>
      <c r="JM8" s="25"/>
      <c r="JN8" s="23"/>
      <c r="JO8" s="23"/>
      <c r="JP8" s="23"/>
      <c r="JQ8" s="23"/>
      <c r="JR8" s="23"/>
      <c r="JS8" s="23"/>
      <c r="JT8" s="23"/>
      <c r="JU8" s="23"/>
      <c r="JV8" s="25"/>
      <c r="JW8" s="25"/>
      <c r="JX8" s="23"/>
      <c r="JY8" s="23"/>
      <c r="JZ8" s="23"/>
      <c r="KA8" s="23"/>
      <c r="KB8" s="23"/>
      <c r="KC8" s="23"/>
      <c r="KD8" s="23"/>
      <c r="KE8" s="23"/>
      <c r="KF8" s="25"/>
      <c r="KG8" s="25"/>
      <c r="KH8" s="23"/>
      <c r="KI8" s="23"/>
      <c r="KJ8" s="23"/>
      <c r="KK8" s="23"/>
      <c r="KL8" s="23"/>
      <c r="KM8" s="23"/>
      <c r="KN8" s="23"/>
      <c r="KO8" s="23"/>
      <c r="KP8" s="25"/>
      <c r="KQ8" s="25"/>
      <c r="KR8" s="23"/>
      <c r="KS8" s="23"/>
      <c r="KT8" s="23"/>
      <c r="KU8" s="23"/>
      <c r="KV8" s="23"/>
      <c r="KW8" s="23"/>
      <c r="KX8" s="23"/>
      <c r="KY8" s="23"/>
      <c r="KZ8" s="25"/>
      <c r="LA8" s="25"/>
      <c r="LB8" s="23"/>
      <c r="LC8" s="23"/>
      <c r="LD8" s="23"/>
      <c r="LE8" s="23"/>
      <c r="LF8" s="23"/>
      <c r="LG8" s="23"/>
      <c r="LH8" s="23"/>
      <c r="LI8" s="23"/>
      <c r="LJ8" s="4">
        <f>COUNT(H10:CD10)</f>
        <v>25</v>
      </c>
      <c r="LK8" s="6">
        <f>AVERAGE(H10:CD10)</f>
        <v>82.035560000000004</v>
      </c>
      <c r="LL8" s="2">
        <f>STDEVA(H10:CD10)</f>
        <v>8.1244486992455463E-3</v>
      </c>
      <c r="LM8" s="7">
        <f>(E10-F10)/(6*LL8)</f>
        <v>1.0257106225689765</v>
      </c>
      <c r="LN8" s="7">
        <f>(E10-LK8)/(3*LL8)</f>
        <v>1.4130189536506659</v>
      </c>
      <c r="LO8" s="7">
        <f>(LK8-F10)/(3*LL8)</f>
        <v>0.63840229148728678</v>
      </c>
      <c r="LP8" s="7">
        <f t="shared" si="0"/>
        <v>0.63840229148728678</v>
      </c>
    </row>
    <row r="9" spans="1:328" ht="30" customHeight="1">
      <c r="A9" s="2" t="s">
        <v>30</v>
      </c>
      <c r="B9" s="2" t="s">
        <v>31</v>
      </c>
      <c r="C9" s="2" t="s">
        <v>32</v>
      </c>
      <c r="D9" s="2" t="s">
        <v>33</v>
      </c>
      <c r="E9" s="5">
        <v>57.045999999999999</v>
      </c>
      <c r="F9" s="5">
        <v>57</v>
      </c>
      <c r="G9" s="5">
        <f t="shared" ref="G9:G77" si="1">(E9+F9)/2</f>
        <v>57.022999999999996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57.018000000000001</v>
      </c>
      <c r="AC9" s="5">
        <v>57.021999999999998</v>
      </c>
      <c r="AD9" s="5">
        <v>57.027000000000001</v>
      </c>
      <c r="AE9" s="5">
        <v>57.02</v>
      </c>
      <c r="AF9" s="5">
        <v>57.021000000000001</v>
      </c>
      <c r="AG9" s="5"/>
      <c r="AH9" s="5"/>
      <c r="AI9" s="5"/>
      <c r="AJ9" s="5"/>
      <c r="AK9" s="5"/>
      <c r="AL9" s="5">
        <v>57.009</v>
      </c>
      <c r="AM9" s="5">
        <v>57.01</v>
      </c>
      <c r="AN9" s="5">
        <v>57.012999999999998</v>
      </c>
      <c r="AO9" s="5">
        <v>57.005000000000003</v>
      </c>
      <c r="AP9" s="5">
        <v>57.018000000000001</v>
      </c>
      <c r="AQ9" s="5"/>
      <c r="AR9" s="5"/>
      <c r="AS9" s="5"/>
      <c r="AT9" s="5"/>
      <c r="AU9" s="5"/>
      <c r="AV9" s="5"/>
      <c r="AW9" s="5"/>
      <c r="AX9" s="5"/>
      <c r="AY9" s="5"/>
      <c r="AZ9" s="5"/>
      <c r="BA9" s="5">
        <v>57.008000000000003</v>
      </c>
      <c r="BB9" s="5">
        <v>57.011000000000003</v>
      </c>
      <c r="BC9" s="5">
        <v>57.006999999999998</v>
      </c>
      <c r="BD9" s="5">
        <v>57.018999999999998</v>
      </c>
      <c r="BE9" s="5">
        <v>57.021000000000001</v>
      </c>
      <c r="BF9" s="5"/>
      <c r="BG9" s="5"/>
      <c r="BH9" s="5"/>
      <c r="BI9" s="5"/>
      <c r="BJ9" s="5"/>
      <c r="BK9" s="5">
        <v>57.027999999999999</v>
      </c>
      <c r="BL9" s="5">
        <v>57.021000000000001</v>
      </c>
      <c r="BM9" s="5">
        <v>57.024000000000001</v>
      </c>
      <c r="BN9" s="5">
        <v>57.018000000000001</v>
      </c>
      <c r="BO9" s="5">
        <v>57.015999999999998</v>
      </c>
      <c r="BP9" s="5"/>
      <c r="BQ9" s="5"/>
      <c r="BR9" s="5"/>
      <c r="BS9" s="5"/>
      <c r="BT9" s="5"/>
      <c r="BU9" s="5">
        <v>57.026000000000003</v>
      </c>
      <c r="BV9" s="5">
        <v>57.021000000000001</v>
      </c>
      <c r="BW9" s="5">
        <v>57.024000000000001</v>
      </c>
      <c r="BX9" s="5">
        <v>57.027000000000001</v>
      </c>
      <c r="BY9" s="5">
        <v>57.030999999999999</v>
      </c>
      <c r="BZ9" s="5"/>
      <c r="CA9" s="5"/>
      <c r="CB9" s="5"/>
      <c r="CC9" s="5"/>
      <c r="CD9" s="5"/>
      <c r="CE9" s="5">
        <v>57.036999999999999</v>
      </c>
      <c r="CF9" s="5">
        <v>57.031999999999996</v>
      </c>
      <c r="CG9" s="5">
        <v>57.034999999999997</v>
      </c>
      <c r="CH9" s="5">
        <v>57.030999999999999</v>
      </c>
      <c r="CI9" s="5">
        <v>57.027999999999999</v>
      </c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>
        <v>57.027000000000001</v>
      </c>
      <c r="HM9" s="13">
        <v>57.027999999999999</v>
      </c>
      <c r="HN9" s="14">
        <v>57.031999999999996</v>
      </c>
      <c r="HO9" s="14">
        <v>57.033999999999999</v>
      </c>
      <c r="HP9" s="14">
        <v>57.026000000000003</v>
      </c>
      <c r="HQ9" s="14"/>
      <c r="HR9" s="14"/>
      <c r="HS9" s="14"/>
      <c r="HT9" s="14"/>
      <c r="HU9" s="14"/>
      <c r="HV9" s="14"/>
      <c r="HW9" s="14"/>
      <c r="HX9" s="11"/>
      <c r="HY9" s="11"/>
      <c r="HZ9" s="11"/>
      <c r="IA9" s="11"/>
      <c r="IB9" s="11"/>
      <c r="IC9" s="11"/>
      <c r="ID9" s="11"/>
      <c r="IE9" s="11"/>
      <c r="IF9" s="11"/>
      <c r="IG9" s="11"/>
      <c r="IH9" s="14"/>
      <c r="II9" s="14"/>
      <c r="IJ9" s="14"/>
      <c r="IK9" s="14"/>
      <c r="IL9" s="14"/>
      <c r="IM9" s="14"/>
      <c r="IN9" s="14"/>
      <c r="IO9" s="14"/>
      <c r="IP9" s="14"/>
      <c r="IQ9" s="14"/>
      <c r="IR9" s="14"/>
      <c r="IS9" s="14"/>
      <c r="IT9" s="14"/>
      <c r="IU9" s="14"/>
      <c r="IV9" s="14"/>
      <c r="IW9" s="14">
        <v>57.031999999999996</v>
      </c>
      <c r="IX9" s="14">
        <v>57.024999999999999</v>
      </c>
      <c r="IY9" s="14">
        <v>57.027000000000001</v>
      </c>
      <c r="IZ9" s="14">
        <v>57.021000000000001</v>
      </c>
      <c r="JA9" s="14">
        <v>57.029000000000003</v>
      </c>
      <c r="JB9" s="14"/>
      <c r="JC9" s="14"/>
      <c r="JD9" s="14"/>
      <c r="JE9" s="14"/>
      <c r="JF9" s="14"/>
      <c r="JG9" s="14">
        <v>57.031999999999996</v>
      </c>
      <c r="JH9" s="14">
        <v>57.034999999999997</v>
      </c>
      <c r="JI9" s="14">
        <v>57.029000000000003</v>
      </c>
      <c r="JJ9" s="14">
        <v>57.030999999999999</v>
      </c>
      <c r="JK9" s="14">
        <v>57.024999999999999</v>
      </c>
      <c r="JL9" s="14"/>
      <c r="JM9" s="14"/>
      <c r="JN9" s="14"/>
      <c r="JO9" s="14"/>
      <c r="JP9" s="14"/>
      <c r="JQ9" s="14">
        <v>57.024999999999999</v>
      </c>
      <c r="JR9" s="14">
        <v>57.021000000000001</v>
      </c>
      <c r="JS9" s="14">
        <v>27.032</v>
      </c>
      <c r="JT9" s="14">
        <v>57.033000000000001</v>
      </c>
      <c r="JU9" s="14">
        <v>57.037999999999997</v>
      </c>
      <c r="JV9" s="14"/>
      <c r="JW9" s="14"/>
      <c r="JX9" s="14"/>
      <c r="JY9" s="14"/>
      <c r="JZ9" s="14"/>
      <c r="KA9" s="14">
        <v>57.024999999999999</v>
      </c>
      <c r="KB9" s="14">
        <v>57.027999999999999</v>
      </c>
      <c r="KC9" s="14">
        <v>57.031999999999996</v>
      </c>
      <c r="KD9" s="14">
        <v>57.033999999999999</v>
      </c>
      <c r="KE9" s="14">
        <v>57.029000000000003</v>
      </c>
      <c r="KF9" s="14"/>
      <c r="KG9" s="14"/>
      <c r="KH9" s="14"/>
      <c r="KI9" s="14"/>
      <c r="KJ9" s="14"/>
      <c r="KK9" s="14"/>
      <c r="KL9" s="14"/>
      <c r="KM9" s="14"/>
      <c r="KN9" s="14"/>
      <c r="KO9" s="14"/>
      <c r="KP9" s="14"/>
      <c r="KQ9" s="14"/>
      <c r="KR9" s="14"/>
      <c r="KS9" s="14"/>
      <c r="KT9" s="14"/>
      <c r="KU9" s="14"/>
      <c r="KV9" s="14"/>
      <c r="KW9" s="14"/>
      <c r="KX9" s="14"/>
      <c r="KY9" s="14"/>
      <c r="KZ9" s="14"/>
      <c r="LA9" s="14"/>
      <c r="LB9" s="14"/>
      <c r="LC9" s="14"/>
      <c r="LD9" s="14"/>
      <c r="LE9" s="14"/>
      <c r="LF9" s="14"/>
      <c r="LG9" s="14"/>
      <c r="LH9" s="14"/>
      <c r="LI9" s="14"/>
      <c r="LJ9" s="12">
        <f>COUNT(H11:CD11)</f>
        <v>5</v>
      </c>
      <c r="LK9" s="6">
        <f>AVERAGE(H11:CD11)</f>
        <v>82.022199999999998</v>
      </c>
      <c r="LL9" s="2">
        <f>STDEVA(H11:CD11)</f>
        <v>1.3038404810396709E-3</v>
      </c>
      <c r="LM9" s="7">
        <f>(E11-F11)/(6*LL9)</f>
        <v>6.3913749070652663</v>
      </c>
      <c r="LN9" s="7">
        <f>(E11-LK9)/(3*LL9)</f>
        <v>12.220308822308251</v>
      </c>
      <c r="LO9" s="7">
        <f>(LK9-F11)/(3*LL9)</f>
        <v>0.56244099182228113</v>
      </c>
      <c r="LP9" s="7">
        <f>MIN(LN9:LO9)</f>
        <v>0.56244099182228113</v>
      </c>
    </row>
    <row r="10" spans="1:328" ht="30" customHeight="1">
      <c r="A10" s="2" t="s">
        <v>30</v>
      </c>
      <c r="B10" s="2" t="s">
        <v>31</v>
      </c>
      <c r="C10" s="2" t="s">
        <v>32</v>
      </c>
      <c r="D10" s="2" t="s">
        <v>34</v>
      </c>
      <c r="E10" s="5">
        <v>82.07</v>
      </c>
      <c r="F10" s="5">
        <v>82.02</v>
      </c>
      <c r="G10" s="5">
        <f t="shared" si="1"/>
        <v>82.044999999999987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82.034999999999997</v>
      </c>
      <c r="AC10" s="5">
        <v>82.040999999999997</v>
      </c>
      <c r="AD10" s="5">
        <v>82.037000000000006</v>
      </c>
      <c r="AE10" s="5">
        <v>82.039000000000001</v>
      </c>
      <c r="AF10" s="5">
        <v>82.05</v>
      </c>
      <c r="AG10" s="5"/>
      <c r="AH10" s="5"/>
      <c r="AI10" s="5"/>
      <c r="AJ10" s="5"/>
      <c r="AK10" s="5"/>
      <c r="AL10" s="5">
        <v>82.027000000000001</v>
      </c>
      <c r="AM10" s="5">
        <v>82.034999999999997</v>
      </c>
      <c r="AN10" s="5">
        <v>82.04</v>
      </c>
      <c r="AO10" s="5">
        <v>82.037000000000006</v>
      </c>
      <c r="AP10" s="5">
        <v>82.049000000000007</v>
      </c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82.021000000000001</v>
      </c>
      <c r="BB10" s="5">
        <v>82.024000000000001</v>
      </c>
      <c r="BC10" s="5">
        <v>82.021000000000001</v>
      </c>
      <c r="BD10" s="5">
        <v>82.024000000000001</v>
      </c>
      <c r="BE10" s="5">
        <v>82.025000000000006</v>
      </c>
      <c r="BF10" s="5"/>
      <c r="BG10" s="5"/>
      <c r="BH10" s="5"/>
      <c r="BI10" s="5"/>
      <c r="BJ10" s="5"/>
      <c r="BK10" s="5">
        <v>82.031999999999996</v>
      </c>
      <c r="BL10" s="5">
        <v>82.037000000000006</v>
      </c>
      <c r="BM10" s="5">
        <v>82.034999999999997</v>
      </c>
      <c r="BN10" s="5">
        <v>82.040999999999997</v>
      </c>
      <c r="BO10" s="5">
        <v>82.046000000000006</v>
      </c>
      <c r="BP10" s="5"/>
      <c r="BQ10" s="5"/>
      <c r="BR10" s="5"/>
      <c r="BS10" s="5"/>
      <c r="BT10" s="5"/>
      <c r="BU10" s="5">
        <v>82.039000000000001</v>
      </c>
      <c r="BV10" s="5">
        <v>82.036000000000001</v>
      </c>
      <c r="BW10" s="5">
        <v>82.034000000000006</v>
      </c>
      <c r="BX10" s="5">
        <v>82.040999999999997</v>
      </c>
      <c r="BY10" s="5">
        <v>82.043000000000006</v>
      </c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>
        <v>82.034999999999997</v>
      </c>
      <c r="HM10" s="13">
        <v>82.042000000000002</v>
      </c>
      <c r="HN10" s="14">
        <v>82.037999999999997</v>
      </c>
      <c r="HO10" s="14">
        <v>82.040999999999997</v>
      </c>
      <c r="HP10" s="14">
        <v>82.046000000000006</v>
      </c>
      <c r="HQ10" s="14"/>
      <c r="HR10" s="14"/>
      <c r="HS10" s="14"/>
      <c r="HT10" s="14"/>
      <c r="HU10" s="14"/>
      <c r="HV10" s="14"/>
      <c r="HW10" s="14"/>
      <c r="HX10" s="11"/>
      <c r="HY10" s="11"/>
      <c r="HZ10" s="11"/>
      <c r="IA10" s="11"/>
      <c r="IB10" s="11"/>
      <c r="IC10" s="11"/>
      <c r="ID10" s="11"/>
      <c r="IE10" s="11"/>
      <c r="IF10" s="11"/>
      <c r="IG10" s="11"/>
      <c r="IH10" s="14"/>
      <c r="II10" s="14"/>
      <c r="IJ10" s="14"/>
      <c r="IK10" s="14"/>
      <c r="IL10" s="14"/>
      <c r="IM10" s="14"/>
      <c r="IN10" s="14"/>
      <c r="IO10" s="14"/>
      <c r="IP10" s="14"/>
      <c r="IQ10" s="14"/>
      <c r="IR10" s="14"/>
      <c r="IS10" s="14"/>
      <c r="IT10" s="14"/>
      <c r="IU10" s="14"/>
      <c r="IV10" s="14"/>
      <c r="IW10" s="14">
        <v>82.051000000000002</v>
      </c>
      <c r="IX10" s="14">
        <v>82.046999999999997</v>
      </c>
      <c r="IY10" s="14">
        <v>82.043999999999997</v>
      </c>
      <c r="IZ10" s="14">
        <v>82.049000000000007</v>
      </c>
      <c r="JA10" s="14">
        <v>82.045000000000002</v>
      </c>
      <c r="JB10" s="14"/>
      <c r="JC10" s="14"/>
      <c r="JD10" s="14"/>
      <c r="JE10" s="14"/>
      <c r="JF10" s="14"/>
      <c r="JG10" s="14">
        <v>82.040999999999997</v>
      </c>
      <c r="JH10" s="14">
        <v>82.043999999999997</v>
      </c>
      <c r="JI10" s="14">
        <v>82.046000000000006</v>
      </c>
      <c r="JJ10" s="14">
        <v>82.048000000000002</v>
      </c>
      <c r="JK10" s="14">
        <v>82.039000000000001</v>
      </c>
      <c r="JL10" s="14"/>
      <c r="JM10" s="14"/>
      <c r="JN10" s="14"/>
      <c r="JO10" s="14"/>
      <c r="JP10" s="14"/>
      <c r="JQ10" s="14">
        <v>82.034000000000006</v>
      </c>
      <c r="JR10" s="14">
        <v>82.028999999999996</v>
      </c>
      <c r="JS10" s="14">
        <v>82.031000000000006</v>
      </c>
      <c r="JT10" s="14">
        <v>82.042000000000002</v>
      </c>
      <c r="JU10" s="14">
        <v>82.046000000000006</v>
      </c>
      <c r="JV10" s="14"/>
      <c r="JW10" s="14"/>
      <c r="JX10" s="14"/>
      <c r="JY10" s="14"/>
      <c r="JZ10" s="14"/>
      <c r="KA10" s="14">
        <v>82.051000000000002</v>
      </c>
      <c r="KB10" s="14">
        <v>82.046999999999997</v>
      </c>
      <c r="KC10" s="14">
        <v>82.039000000000001</v>
      </c>
      <c r="KD10" s="14">
        <v>82.037000000000006</v>
      </c>
      <c r="KE10" s="14">
        <v>82.040999999999997</v>
      </c>
      <c r="KF10" s="14"/>
      <c r="KG10" s="14"/>
      <c r="KH10" s="14"/>
      <c r="KI10" s="14"/>
      <c r="KJ10" s="14"/>
      <c r="KK10" s="14"/>
      <c r="KL10" s="14"/>
      <c r="KM10" s="14"/>
      <c r="KN10" s="14"/>
      <c r="KO10" s="14"/>
      <c r="KP10" s="14"/>
      <c r="KQ10" s="14"/>
      <c r="KR10" s="14"/>
      <c r="KS10" s="14"/>
      <c r="KT10" s="14"/>
      <c r="KU10" s="14"/>
      <c r="KV10" s="14"/>
      <c r="KW10" s="14"/>
      <c r="KX10" s="14"/>
      <c r="KY10" s="14"/>
      <c r="KZ10" s="14"/>
      <c r="LA10" s="14"/>
      <c r="LB10" s="14"/>
      <c r="LC10" s="14"/>
      <c r="LD10" s="14"/>
      <c r="LE10" s="14"/>
      <c r="LF10" s="14"/>
      <c r="LG10" s="14"/>
      <c r="LH10" s="14"/>
      <c r="LI10" s="14"/>
      <c r="LJ10" s="12"/>
      <c r="LK10" s="6"/>
      <c r="LL10" s="2"/>
      <c r="LM10" s="7"/>
      <c r="LN10" s="7"/>
      <c r="LO10" s="7"/>
      <c r="LP10" s="7"/>
    </row>
    <row r="11" spans="1:328" ht="30" customHeight="1">
      <c r="A11" s="2" t="s">
        <v>30</v>
      </c>
      <c r="B11" s="2" t="s">
        <v>31</v>
      </c>
      <c r="C11" s="2" t="s">
        <v>32</v>
      </c>
      <c r="D11" s="2" t="s">
        <v>35</v>
      </c>
      <c r="E11" s="5">
        <v>82.07</v>
      </c>
      <c r="F11" s="5">
        <v>82.02</v>
      </c>
      <c r="G11" s="5">
        <f t="shared" si="1"/>
        <v>82.044999999999987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>
        <v>82.024000000000001</v>
      </c>
      <c r="BB11" s="5">
        <v>82.021000000000001</v>
      </c>
      <c r="BC11" s="5">
        <v>82.022000000000006</v>
      </c>
      <c r="BD11" s="5">
        <v>82.021000000000001</v>
      </c>
      <c r="BE11" s="5">
        <v>82.022999999999996</v>
      </c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13"/>
      <c r="HN11" s="14"/>
      <c r="HO11" s="14"/>
      <c r="HP11" s="14"/>
      <c r="HQ11" s="14"/>
      <c r="HR11" s="14"/>
      <c r="HS11" s="14"/>
      <c r="HT11" s="14"/>
      <c r="HU11" s="14"/>
      <c r="HV11" s="14"/>
      <c r="HW11" s="14"/>
      <c r="HX11" s="11"/>
      <c r="HY11" s="11"/>
      <c r="HZ11" s="11"/>
      <c r="IA11" s="11"/>
      <c r="IB11" s="11"/>
      <c r="IC11" s="11"/>
      <c r="ID11" s="11"/>
      <c r="IE11" s="11"/>
      <c r="IF11" s="11"/>
      <c r="IG11" s="11"/>
      <c r="IH11" s="14"/>
      <c r="II11" s="14"/>
      <c r="IJ11" s="14"/>
      <c r="IK11" s="14"/>
      <c r="IL11" s="14"/>
      <c r="IM11" s="14"/>
      <c r="IN11" s="14"/>
      <c r="IO11" s="14"/>
      <c r="IP11" s="14"/>
      <c r="IQ11" s="14"/>
      <c r="IR11" s="14"/>
      <c r="IS11" s="14"/>
      <c r="IT11" s="14"/>
      <c r="IU11" s="14"/>
      <c r="IV11" s="14"/>
      <c r="IW11" s="14"/>
      <c r="IX11" s="14"/>
      <c r="IY11" s="14"/>
      <c r="IZ11" s="14"/>
      <c r="JA11" s="14"/>
      <c r="JB11" s="14"/>
      <c r="JC11" s="14"/>
      <c r="JD11" s="14"/>
      <c r="JE11" s="14"/>
      <c r="JF11" s="14"/>
      <c r="JG11" s="14"/>
      <c r="JH11" s="14"/>
      <c r="JI11" s="14"/>
      <c r="JJ11" s="14"/>
      <c r="JK11" s="14"/>
      <c r="JL11" s="14"/>
      <c r="JM11" s="14"/>
      <c r="JN11" s="14"/>
      <c r="JO11" s="14"/>
      <c r="JP11" s="14"/>
      <c r="JQ11" s="14"/>
      <c r="JR11" s="14"/>
      <c r="JS11" s="14"/>
      <c r="JT11" s="14"/>
      <c r="JU11" s="14"/>
      <c r="JV11" s="14"/>
      <c r="JW11" s="14"/>
      <c r="JX11" s="14"/>
      <c r="JY11" s="14"/>
      <c r="JZ11" s="14"/>
      <c r="KA11" s="14"/>
      <c r="KB11" s="14"/>
      <c r="KC11" s="14"/>
      <c r="KD11" s="14"/>
      <c r="KE11" s="14"/>
      <c r="KF11" s="14"/>
      <c r="KG11" s="14"/>
      <c r="KH11" s="14"/>
      <c r="KI11" s="14"/>
      <c r="KJ11" s="14"/>
      <c r="KK11" s="14"/>
      <c r="KL11" s="14"/>
      <c r="KM11" s="14"/>
      <c r="KN11" s="14"/>
      <c r="KO11" s="14"/>
      <c r="KP11" s="14"/>
      <c r="KQ11" s="14"/>
      <c r="KR11" s="14"/>
      <c r="KS11" s="14"/>
      <c r="KT11" s="14"/>
      <c r="KU11" s="14"/>
      <c r="KV11" s="14"/>
      <c r="KW11" s="14"/>
      <c r="KX11" s="14"/>
      <c r="KY11" s="14"/>
      <c r="KZ11" s="14"/>
      <c r="LA11" s="14"/>
      <c r="LB11" s="14"/>
      <c r="LC11" s="14"/>
      <c r="LD11" s="14"/>
      <c r="LE11" s="14"/>
      <c r="LF11" s="14"/>
      <c r="LG11" s="14"/>
      <c r="LH11" s="14"/>
      <c r="LI11" s="14"/>
      <c r="LJ11" s="12">
        <f t="shared" ref="LJ11:LJ45" si="2">COUNT(H13:CD13)</f>
        <v>25</v>
      </c>
      <c r="LK11" s="6">
        <f t="shared" ref="LK11:LK45" si="3">AVERAGE(H13:CD13)</f>
        <v>48.306479999999986</v>
      </c>
      <c r="LL11" s="2">
        <f t="shared" ref="LL11:LL45" si="4">STDEVA(H13:CD13)</f>
        <v>2.8884828774518433E-3</v>
      </c>
      <c r="LM11" s="7">
        <f t="shared" ref="LM11:LM45" si="5">(E13-F13)/(6*LL11)</f>
        <v>1.7310125114575996</v>
      </c>
      <c r="LN11" s="7">
        <f t="shared" ref="LN11:LN45" si="6">(E13-LK11)/(3*LL11)</f>
        <v>2.7142276179667957</v>
      </c>
      <c r="LO11" s="7">
        <f t="shared" ref="LO11:LO28" si="7">(LK11-F13)/(3*LL11)</f>
        <v>0.74779740494840385</v>
      </c>
      <c r="LP11" s="7">
        <f t="shared" si="0"/>
        <v>0.74779740494840385</v>
      </c>
    </row>
    <row r="12" spans="1:328" ht="30" customHeight="1">
      <c r="A12" s="2" t="s">
        <v>30</v>
      </c>
      <c r="B12" s="2" t="s">
        <v>31</v>
      </c>
      <c r="C12" s="2" t="s">
        <v>32</v>
      </c>
      <c r="D12" s="2" t="s">
        <v>35</v>
      </c>
      <c r="E12" s="10"/>
      <c r="F12" s="10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>
        <v>12.067</v>
      </c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13"/>
      <c r="HN12" s="14"/>
      <c r="HO12" s="14"/>
      <c r="HP12" s="14"/>
      <c r="HQ12" s="14"/>
      <c r="HR12" s="14"/>
      <c r="HS12" s="14"/>
      <c r="HT12" s="14"/>
      <c r="HU12" s="14"/>
      <c r="HV12" s="14"/>
      <c r="HW12" s="14"/>
      <c r="HX12" s="11"/>
      <c r="HY12" s="11"/>
      <c r="HZ12" s="11"/>
      <c r="IA12" s="11"/>
      <c r="IB12" s="11"/>
      <c r="IC12" s="11"/>
      <c r="ID12" s="11"/>
      <c r="IE12" s="11"/>
      <c r="IF12" s="11"/>
      <c r="IG12" s="11"/>
      <c r="IH12" s="14"/>
      <c r="II12" s="14"/>
      <c r="IJ12" s="14"/>
      <c r="IK12" s="14"/>
      <c r="IL12" s="14"/>
      <c r="IM12" s="14"/>
      <c r="IN12" s="14"/>
      <c r="IO12" s="14"/>
      <c r="IP12" s="14"/>
      <c r="IQ12" s="14"/>
      <c r="IR12" s="14"/>
      <c r="IS12" s="14"/>
      <c r="IT12" s="14"/>
      <c r="IU12" s="14"/>
      <c r="IV12" s="14"/>
      <c r="IW12" s="14"/>
      <c r="IX12" s="14"/>
      <c r="IY12" s="14"/>
      <c r="IZ12" s="14"/>
      <c r="JA12" s="14"/>
      <c r="JB12" s="14"/>
      <c r="JC12" s="14"/>
      <c r="JD12" s="14"/>
      <c r="JE12" s="14"/>
      <c r="JF12" s="14"/>
      <c r="JG12" s="14"/>
      <c r="JH12" s="14"/>
      <c r="JI12" s="14"/>
      <c r="JJ12" s="14"/>
      <c r="JK12" s="14"/>
      <c r="JL12" s="14"/>
      <c r="JM12" s="14"/>
      <c r="JN12" s="14"/>
      <c r="JO12" s="14"/>
      <c r="JP12" s="14"/>
      <c r="JQ12" s="14"/>
      <c r="JR12" s="14"/>
      <c r="JS12" s="14"/>
      <c r="JT12" s="14"/>
      <c r="JU12" s="14"/>
      <c r="JV12" s="14"/>
      <c r="JW12" s="14"/>
      <c r="JX12" s="14"/>
      <c r="JY12" s="14"/>
      <c r="JZ12" s="14"/>
      <c r="KA12" s="14"/>
      <c r="KB12" s="14"/>
      <c r="KC12" s="14"/>
      <c r="KD12" s="14"/>
      <c r="KE12" s="14"/>
      <c r="KF12" s="14"/>
      <c r="KG12" s="14"/>
      <c r="KH12" s="14"/>
      <c r="KI12" s="14"/>
      <c r="KJ12" s="14"/>
      <c r="KK12" s="14"/>
      <c r="KL12" s="14"/>
      <c r="KM12" s="14"/>
      <c r="KN12" s="14"/>
      <c r="KO12" s="14"/>
      <c r="KP12" s="14"/>
      <c r="KQ12" s="14"/>
      <c r="KR12" s="14"/>
      <c r="KS12" s="14"/>
      <c r="KT12" s="14"/>
      <c r="KU12" s="14"/>
      <c r="KV12" s="14"/>
      <c r="KW12" s="14"/>
      <c r="KX12" s="14"/>
      <c r="KY12" s="14"/>
      <c r="KZ12" s="14"/>
      <c r="LA12" s="14"/>
      <c r="LB12" s="14"/>
      <c r="LC12" s="14"/>
      <c r="LD12" s="14"/>
      <c r="LE12" s="14"/>
      <c r="LF12" s="14"/>
      <c r="LG12" s="14"/>
      <c r="LH12" s="14"/>
      <c r="LI12" s="14"/>
      <c r="LJ12" s="12">
        <f t="shared" si="2"/>
        <v>10</v>
      </c>
      <c r="LK12" s="6">
        <f t="shared" si="3"/>
        <v>14.039899999999999</v>
      </c>
      <c r="LL12" s="2">
        <f t="shared" si="4"/>
        <v>2.8067379246695416E-3</v>
      </c>
      <c r="LM12" s="7">
        <f t="shared" si="5"/>
        <v>1.0688564734284292</v>
      </c>
      <c r="LN12" s="7">
        <f t="shared" si="6"/>
        <v>1.1994944868475719</v>
      </c>
      <c r="LO12" s="7">
        <f t="shared" si="7"/>
        <v>0.93821846000928633</v>
      </c>
      <c r="LP12" s="7">
        <f t="shared" si="0"/>
        <v>0.93821846000928633</v>
      </c>
    </row>
    <row r="13" spans="1:328" ht="30" customHeight="1">
      <c r="A13" s="2" t="s">
        <v>30</v>
      </c>
      <c r="B13" s="2" t="s">
        <v>31</v>
      </c>
      <c r="C13" s="2" t="s">
        <v>32</v>
      </c>
      <c r="D13" s="2" t="s">
        <v>36</v>
      </c>
      <c r="E13" s="5">
        <v>48.33</v>
      </c>
      <c r="F13" s="5">
        <v>48.3</v>
      </c>
      <c r="G13" s="5">
        <f t="shared" si="1"/>
        <v>48.314999999999998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>
        <v>48.305</v>
      </c>
      <c r="AC13" s="5">
        <v>48.302</v>
      </c>
      <c r="AD13" s="5">
        <v>48.304000000000002</v>
      </c>
      <c r="AE13" s="5">
        <v>48.305999999999997</v>
      </c>
      <c r="AF13" s="5">
        <v>48.308999999999997</v>
      </c>
      <c r="AG13" s="5"/>
      <c r="AH13" s="5"/>
      <c r="AI13" s="5"/>
      <c r="AJ13" s="5"/>
      <c r="AK13" s="5"/>
      <c r="AL13" s="5">
        <v>48.307000000000002</v>
      </c>
      <c r="AM13" s="5">
        <v>48.308</v>
      </c>
      <c r="AN13" s="5">
        <v>48.305999999999997</v>
      </c>
      <c r="AO13" s="5">
        <v>48.308</v>
      </c>
      <c r="AP13" s="5">
        <v>48.314</v>
      </c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48.304000000000002</v>
      </c>
      <c r="BB13" s="5">
        <v>48.307000000000002</v>
      </c>
      <c r="BC13" s="5">
        <v>48.31</v>
      </c>
      <c r="BD13" s="5">
        <v>48.304000000000002</v>
      </c>
      <c r="BE13" s="5">
        <v>48.305</v>
      </c>
      <c r="BF13" s="5"/>
      <c r="BG13" s="5"/>
      <c r="BH13" s="5"/>
      <c r="BI13" s="5"/>
      <c r="BJ13" s="5"/>
      <c r="BK13" s="5">
        <v>48.307000000000002</v>
      </c>
      <c r="BL13" s="5">
        <v>48.308999999999997</v>
      </c>
      <c r="BM13" s="5">
        <v>48.305</v>
      </c>
      <c r="BN13" s="5">
        <v>48.305999999999997</v>
      </c>
      <c r="BO13" s="5">
        <v>48.308</v>
      </c>
      <c r="BP13" s="5"/>
      <c r="BQ13" s="5"/>
      <c r="BR13" s="5"/>
      <c r="BS13" s="5"/>
      <c r="BT13" s="5"/>
      <c r="BU13" s="5">
        <v>48.305</v>
      </c>
      <c r="BV13" s="5">
        <v>48.302999999999997</v>
      </c>
      <c r="BW13" s="5">
        <v>48.302</v>
      </c>
      <c r="BX13" s="5">
        <v>48.305999999999997</v>
      </c>
      <c r="BY13" s="5">
        <v>48.311999999999998</v>
      </c>
      <c r="BZ13" s="5"/>
      <c r="CA13" s="5"/>
      <c r="CB13" s="5"/>
      <c r="CC13" s="5"/>
      <c r="CD13" s="5"/>
      <c r="CE13" s="5">
        <v>48.308999999999997</v>
      </c>
      <c r="CF13" s="5">
        <v>48.308</v>
      </c>
      <c r="CG13" s="5">
        <v>48.311999999999998</v>
      </c>
      <c r="CH13" s="5">
        <v>48.314</v>
      </c>
      <c r="CI13" s="5">
        <v>48.316000000000003</v>
      </c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>
        <v>48.311999999999998</v>
      </c>
      <c r="HM13" s="13">
        <v>48.317</v>
      </c>
      <c r="HN13" s="14">
        <v>48.314</v>
      </c>
      <c r="HO13" s="14">
        <v>48.307000000000002</v>
      </c>
      <c r="HP13" s="14">
        <v>48.308999999999997</v>
      </c>
      <c r="HQ13" s="14"/>
      <c r="HR13" s="14"/>
      <c r="HS13" s="14"/>
      <c r="HT13" s="14"/>
      <c r="HU13" s="14"/>
      <c r="HV13" s="14"/>
      <c r="HW13" s="14"/>
      <c r="HX13" s="11"/>
      <c r="HY13" s="11"/>
      <c r="HZ13" s="11"/>
      <c r="IA13" s="11"/>
      <c r="IB13" s="11"/>
      <c r="IC13" s="11"/>
      <c r="ID13" s="11"/>
      <c r="IE13" s="11"/>
      <c r="IF13" s="11"/>
      <c r="IG13" s="11"/>
      <c r="IH13" s="14"/>
      <c r="II13" s="14"/>
      <c r="IJ13" s="14"/>
      <c r="IK13" s="14"/>
      <c r="IL13" s="14"/>
      <c r="IM13" s="14"/>
      <c r="IN13" s="14"/>
      <c r="IO13" s="14"/>
      <c r="IP13" s="14"/>
      <c r="IQ13" s="14"/>
      <c r="IR13" s="14"/>
      <c r="IS13" s="14"/>
      <c r="IT13" s="14"/>
      <c r="IU13" s="14"/>
      <c r="IV13" s="14"/>
      <c r="IW13" s="14">
        <v>48.311</v>
      </c>
      <c r="IX13" s="14">
        <v>48.314</v>
      </c>
      <c r="IY13" s="14">
        <v>48.317</v>
      </c>
      <c r="IZ13" s="14">
        <v>48.91</v>
      </c>
      <c r="JA13" s="14">
        <v>48.308</v>
      </c>
      <c r="JB13" s="14"/>
      <c r="JC13" s="14"/>
      <c r="JD13" s="14"/>
      <c r="JE13" s="14"/>
      <c r="JF13" s="14"/>
      <c r="JG13" s="14">
        <v>48.307000000000002</v>
      </c>
      <c r="JH13" s="14">
        <v>48.308999999999997</v>
      </c>
      <c r="JI13" s="14">
        <v>48.311999999999998</v>
      </c>
      <c r="JJ13" s="14">
        <v>48.31</v>
      </c>
      <c r="JK13" s="14">
        <v>48.314</v>
      </c>
      <c r="JL13" s="14"/>
      <c r="JM13" s="14"/>
      <c r="JN13" s="14"/>
      <c r="JO13" s="14"/>
      <c r="JP13" s="14"/>
      <c r="JQ13" s="14">
        <v>48.308</v>
      </c>
      <c r="JR13" s="14">
        <v>48.316000000000003</v>
      </c>
      <c r="JS13" s="14">
        <v>48.317999999999998</v>
      </c>
      <c r="JT13" s="14">
        <v>48.314</v>
      </c>
      <c r="JU13" s="14">
        <v>48.316000000000003</v>
      </c>
      <c r="JV13" s="14"/>
      <c r="JW13" s="14"/>
      <c r="JX13" s="14"/>
      <c r="JY13" s="14"/>
      <c r="JZ13" s="14"/>
      <c r="KA13" s="14">
        <v>48.308</v>
      </c>
      <c r="KB13" s="14">
        <v>48.311</v>
      </c>
      <c r="KC13" s="14">
        <v>48.305999999999997</v>
      </c>
      <c r="KD13" s="14">
        <v>48.314</v>
      </c>
      <c r="KE13" s="14">
        <v>48.31</v>
      </c>
      <c r="KF13" s="14"/>
      <c r="KG13" s="14"/>
      <c r="KH13" s="14"/>
      <c r="KI13" s="14"/>
      <c r="KJ13" s="14"/>
      <c r="KK13" s="14"/>
      <c r="KL13" s="14"/>
      <c r="KM13" s="14"/>
      <c r="KN13" s="14"/>
      <c r="KO13" s="14"/>
      <c r="KP13" s="14"/>
      <c r="KQ13" s="14"/>
      <c r="KR13" s="14"/>
      <c r="KS13" s="14"/>
      <c r="KT13" s="14"/>
      <c r="KU13" s="14"/>
      <c r="KV13" s="14"/>
      <c r="KW13" s="14"/>
      <c r="KX13" s="14"/>
      <c r="KY13" s="14"/>
      <c r="KZ13" s="14"/>
      <c r="LA13" s="14"/>
      <c r="LB13" s="14"/>
      <c r="LC13" s="14"/>
      <c r="LD13" s="14"/>
      <c r="LE13" s="14"/>
      <c r="LF13" s="14"/>
      <c r="LG13" s="14"/>
      <c r="LH13" s="14"/>
      <c r="LI13" s="14"/>
      <c r="LJ13" s="12">
        <f t="shared" si="2"/>
        <v>10</v>
      </c>
      <c r="LK13" s="6">
        <f t="shared" si="3"/>
        <v>261.71100000000001</v>
      </c>
      <c r="LL13" s="2">
        <f t="shared" si="4"/>
        <v>1.9119507199607703E-2</v>
      </c>
      <c r="LM13" s="7">
        <f t="shared" si="5"/>
        <v>0.87171005469235896</v>
      </c>
      <c r="LN13" s="7">
        <f t="shared" si="6"/>
        <v>0.85427585359842262</v>
      </c>
      <c r="LO13" s="7">
        <f t="shared" si="7"/>
        <v>0.8891442557862953</v>
      </c>
      <c r="LP13" s="7">
        <f t="shared" si="0"/>
        <v>0.85427585359842262</v>
      </c>
    </row>
    <row r="14" spans="1:328" ht="30" customHeight="1">
      <c r="A14" s="2" t="s">
        <v>30</v>
      </c>
      <c r="B14" s="2" t="s">
        <v>31</v>
      </c>
      <c r="C14" s="2" t="s">
        <v>40</v>
      </c>
      <c r="D14" s="2" t="s">
        <v>38</v>
      </c>
      <c r="E14" s="5">
        <v>14.05</v>
      </c>
      <c r="F14" s="5">
        <v>14.032</v>
      </c>
      <c r="G14" s="5">
        <f t="shared" si="1"/>
        <v>14.041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>
        <v>14.042999999999999</v>
      </c>
      <c r="BL14" s="5">
        <v>14.038</v>
      </c>
      <c r="BM14" s="5">
        <v>14.036</v>
      </c>
      <c r="BN14" s="5">
        <v>14.041</v>
      </c>
      <c r="BO14" s="5">
        <v>14.04</v>
      </c>
      <c r="BP14" s="5"/>
      <c r="BQ14" s="5"/>
      <c r="BR14" s="5"/>
      <c r="BS14" s="5"/>
      <c r="BT14" s="5"/>
      <c r="BU14" s="5">
        <v>14.042</v>
      </c>
      <c r="BV14" s="5">
        <v>14.038</v>
      </c>
      <c r="BW14" s="5">
        <v>14.036</v>
      </c>
      <c r="BX14" s="5">
        <v>14.044</v>
      </c>
      <c r="BY14" s="5">
        <v>14.041</v>
      </c>
      <c r="BZ14" s="5"/>
      <c r="CA14" s="5"/>
      <c r="CB14" s="5"/>
      <c r="CC14" s="5"/>
      <c r="CD14" s="5"/>
      <c r="CE14" s="5">
        <v>14.044</v>
      </c>
      <c r="CF14" s="5">
        <v>14.042</v>
      </c>
      <c r="CG14" s="5">
        <v>14.045</v>
      </c>
      <c r="CH14" s="5">
        <v>14.038</v>
      </c>
      <c r="CI14" s="5">
        <v>14.041</v>
      </c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>
        <v>14.044</v>
      </c>
      <c r="CU14" s="5">
        <v>14.04</v>
      </c>
      <c r="CV14" s="5">
        <v>14.035</v>
      </c>
      <c r="CW14" s="5">
        <v>14.038</v>
      </c>
      <c r="CX14" s="5">
        <v>14.039</v>
      </c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13"/>
      <c r="HN14" s="14"/>
      <c r="HO14" s="14"/>
      <c r="HP14" s="14"/>
      <c r="HQ14" s="14"/>
      <c r="HR14" s="14"/>
      <c r="HS14" s="14"/>
      <c r="HT14" s="14"/>
      <c r="HU14" s="14"/>
      <c r="HV14" s="14"/>
      <c r="HW14" s="14"/>
      <c r="HX14" s="11"/>
      <c r="HY14" s="11"/>
      <c r="HZ14" s="11"/>
      <c r="IA14" s="11"/>
      <c r="IB14" s="11"/>
      <c r="IC14" s="11"/>
      <c r="ID14" s="11"/>
      <c r="IE14" s="11"/>
      <c r="IF14" s="11"/>
      <c r="IG14" s="11"/>
      <c r="IH14" s="14"/>
      <c r="II14" s="14"/>
      <c r="IJ14" s="14"/>
      <c r="IK14" s="14"/>
      <c r="IL14" s="14"/>
      <c r="IM14" s="14"/>
      <c r="IN14" s="14"/>
      <c r="IO14" s="14"/>
      <c r="IP14" s="14"/>
      <c r="IQ14" s="14"/>
      <c r="IR14" s="14"/>
      <c r="IS14" s="14"/>
      <c r="IT14" s="14"/>
      <c r="IU14" s="14"/>
      <c r="IV14" s="14"/>
      <c r="IW14" s="14">
        <v>14.044</v>
      </c>
      <c r="IX14" s="14">
        <v>14.039</v>
      </c>
      <c r="IY14" s="14">
        <v>14.041</v>
      </c>
      <c r="IZ14" s="14">
        <v>14.042</v>
      </c>
      <c r="JA14" s="14">
        <v>14.04</v>
      </c>
      <c r="JB14" s="14"/>
      <c r="JC14" s="14"/>
      <c r="JD14" s="14"/>
      <c r="JE14" s="14"/>
      <c r="JF14" s="14"/>
      <c r="JG14" s="14">
        <v>14.039</v>
      </c>
      <c r="JH14" s="14">
        <v>14.042</v>
      </c>
      <c r="JI14" s="14">
        <v>14.042999999999999</v>
      </c>
      <c r="JJ14" s="14">
        <v>14.044</v>
      </c>
      <c r="JK14" s="14">
        <v>14.041</v>
      </c>
      <c r="JL14" s="14"/>
      <c r="JM14" s="14"/>
      <c r="JN14" s="14"/>
      <c r="JO14" s="14"/>
      <c r="JP14" s="14"/>
      <c r="JQ14" s="14">
        <v>14.036</v>
      </c>
      <c r="JR14" s="14">
        <v>14.042</v>
      </c>
      <c r="JS14" s="14">
        <v>14.044</v>
      </c>
      <c r="JT14" s="14">
        <v>14.041</v>
      </c>
      <c r="JU14" s="14">
        <v>14.04</v>
      </c>
      <c r="JV14" s="14"/>
      <c r="JW14" s="14"/>
      <c r="JX14" s="14"/>
      <c r="JY14" s="14"/>
      <c r="JZ14" s="14"/>
      <c r="KA14" s="14">
        <v>14.038</v>
      </c>
      <c r="KB14" s="14">
        <v>14.042</v>
      </c>
      <c r="KC14" s="14">
        <v>14.044</v>
      </c>
      <c r="KD14" s="14">
        <v>14.042</v>
      </c>
      <c r="KE14" s="14">
        <v>14.045999999999999</v>
      </c>
      <c r="KF14" s="14"/>
      <c r="KG14" s="14"/>
      <c r="KH14" s="14"/>
      <c r="KI14" s="14"/>
      <c r="KJ14" s="14"/>
      <c r="KK14" s="14"/>
      <c r="KL14" s="14"/>
      <c r="KM14" s="14"/>
      <c r="KN14" s="14"/>
      <c r="KO14" s="14"/>
      <c r="KP14" s="14"/>
      <c r="KQ14" s="14"/>
      <c r="KR14" s="14"/>
      <c r="KS14" s="14"/>
      <c r="KT14" s="14"/>
      <c r="KU14" s="14"/>
      <c r="KV14" s="14"/>
      <c r="KW14" s="14"/>
      <c r="KX14" s="14"/>
      <c r="KY14" s="14"/>
      <c r="KZ14" s="14"/>
      <c r="LA14" s="14"/>
      <c r="LB14" s="14"/>
      <c r="LC14" s="14"/>
      <c r="LD14" s="14"/>
      <c r="LE14" s="14"/>
      <c r="LF14" s="14"/>
      <c r="LG14" s="14"/>
      <c r="LH14" s="14"/>
      <c r="LI14" s="14"/>
      <c r="LJ14" s="12">
        <f t="shared" si="2"/>
        <v>15</v>
      </c>
      <c r="LK14" s="6">
        <f t="shared" si="3"/>
        <v>14.038066666666664</v>
      </c>
      <c r="LL14" s="2">
        <f t="shared" si="4"/>
        <v>3.8446004188928775E-3</v>
      </c>
      <c r="LM14" s="7">
        <f t="shared" si="5"/>
        <v>0.78031516233981424</v>
      </c>
      <c r="LN14" s="7">
        <f t="shared" si="6"/>
        <v>1.0346401041397277</v>
      </c>
      <c r="LO14" s="7">
        <f t="shared" si="7"/>
        <v>0.52599022053990074</v>
      </c>
      <c r="LP14" s="7">
        <f>MIN(LN14:LO14)</f>
        <v>0.52599022053990074</v>
      </c>
    </row>
    <row r="15" spans="1:328" ht="30" customHeight="1">
      <c r="A15" s="2" t="s">
        <v>30</v>
      </c>
      <c r="B15" s="2" t="s">
        <v>31</v>
      </c>
      <c r="C15" s="2" t="s">
        <v>40</v>
      </c>
      <c r="D15" s="2" t="s">
        <v>39</v>
      </c>
      <c r="E15" s="8">
        <v>261.76</v>
      </c>
      <c r="F15" s="8">
        <v>261.66000000000003</v>
      </c>
      <c r="G15" s="8">
        <f t="shared" si="1"/>
        <v>261.71000000000004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>
        <v>261.68</v>
      </c>
      <c r="BL15" s="5">
        <v>261.7</v>
      </c>
      <c r="BM15" s="5">
        <v>261.69</v>
      </c>
      <c r="BN15" s="5">
        <v>261.74</v>
      </c>
      <c r="BO15" s="5">
        <v>261.70999999999998</v>
      </c>
      <c r="BP15" s="5"/>
      <c r="BQ15" s="5"/>
      <c r="BR15" s="5"/>
      <c r="BS15" s="5"/>
      <c r="BT15" s="5"/>
      <c r="BU15" s="5">
        <v>261.70999999999998</v>
      </c>
      <c r="BV15" s="5">
        <v>261.7</v>
      </c>
      <c r="BW15" s="5">
        <v>261.72000000000003</v>
      </c>
      <c r="BX15" s="5">
        <v>261.73</v>
      </c>
      <c r="BY15" s="5">
        <v>261.73</v>
      </c>
      <c r="BZ15" s="5"/>
      <c r="CA15" s="5"/>
      <c r="CB15" s="5"/>
      <c r="CC15" s="5"/>
      <c r="CD15" s="5"/>
      <c r="CE15" s="5">
        <v>261.68</v>
      </c>
      <c r="CF15" s="5">
        <v>261.72000000000003</v>
      </c>
      <c r="CG15" s="5">
        <v>261.73</v>
      </c>
      <c r="CH15" s="5">
        <v>261.70999999999998</v>
      </c>
      <c r="CI15" s="5">
        <v>261.73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>
        <v>261.74</v>
      </c>
      <c r="CU15" s="5">
        <v>261.7</v>
      </c>
      <c r="CV15" s="5">
        <v>261.69</v>
      </c>
      <c r="CW15" s="5">
        <v>261.70999999999998</v>
      </c>
      <c r="CX15" s="5">
        <v>261.7</v>
      </c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13"/>
      <c r="HN15" s="14"/>
      <c r="HO15" s="14"/>
      <c r="HP15" s="14"/>
      <c r="HQ15" s="14"/>
      <c r="HR15" s="14"/>
      <c r="HS15" s="14"/>
      <c r="HT15" s="14"/>
      <c r="HU15" s="14"/>
      <c r="HV15" s="14"/>
      <c r="HW15" s="14"/>
      <c r="HX15" s="11"/>
      <c r="HY15" s="11"/>
      <c r="HZ15" s="11"/>
      <c r="IA15" s="11"/>
      <c r="IB15" s="11"/>
      <c r="IC15" s="11"/>
      <c r="ID15" s="11"/>
      <c r="IE15" s="11"/>
      <c r="IF15" s="11"/>
      <c r="IG15" s="11"/>
      <c r="IH15" s="14"/>
      <c r="II15" s="14"/>
      <c r="IJ15" s="14"/>
      <c r="IK15" s="14"/>
      <c r="IL15" s="14"/>
      <c r="IM15" s="14"/>
      <c r="IN15" s="14"/>
      <c r="IO15" s="14"/>
      <c r="IP15" s="14"/>
      <c r="IQ15" s="14"/>
      <c r="IR15" s="14"/>
      <c r="IS15" s="14"/>
      <c r="IT15" s="14"/>
      <c r="IU15" s="14"/>
      <c r="IV15" s="14"/>
      <c r="IW15" s="14">
        <v>261.685</v>
      </c>
      <c r="IX15" s="14">
        <v>261.67500000000001</v>
      </c>
      <c r="IY15" s="14">
        <v>261.72500000000002</v>
      </c>
      <c r="IZ15" s="14">
        <v>261.71499999999997</v>
      </c>
      <c r="JA15" s="14">
        <v>261.69499999999999</v>
      </c>
      <c r="JB15" s="14"/>
      <c r="JC15" s="14"/>
      <c r="JD15" s="14"/>
      <c r="JE15" s="14"/>
      <c r="JF15" s="14"/>
      <c r="JG15" s="14">
        <v>261.77499999999998</v>
      </c>
      <c r="JH15" s="14">
        <v>261.76</v>
      </c>
      <c r="JI15" s="14">
        <v>261.68</v>
      </c>
      <c r="JJ15" s="14">
        <v>261.70499999999998</v>
      </c>
      <c r="JK15" s="14">
        <v>261.66500000000002</v>
      </c>
      <c r="JL15" s="14"/>
      <c r="JM15" s="14"/>
      <c r="JN15" s="14"/>
      <c r="JO15" s="14"/>
      <c r="JP15" s="14"/>
      <c r="JQ15" s="14">
        <v>261.75</v>
      </c>
      <c r="JR15" s="14">
        <v>261.74</v>
      </c>
      <c r="JS15" s="14">
        <v>261.73</v>
      </c>
      <c r="JT15" s="14">
        <v>261.7</v>
      </c>
      <c r="JU15" s="14">
        <v>261.7</v>
      </c>
      <c r="JV15" s="14"/>
      <c r="JW15" s="14"/>
      <c r="JX15" s="14"/>
      <c r="JY15" s="14"/>
      <c r="JZ15" s="14"/>
      <c r="KA15" s="14">
        <v>261.74</v>
      </c>
      <c r="KB15" s="14">
        <v>261.70999999999998</v>
      </c>
      <c r="KC15" s="14">
        <v>261.73</v>
      </c>
      <c r="KD15" s="14">
        <v>261.74</v>
      </c>
      <c r="KE15" s="14">
        <v>261.69</v>
      </c>
      <c r="KF15" s="14"/>
      <c r="KG15" s="14"/>
      <c r="KH15" s="14"/>
      <c r="KI15" s="14"/>
      <c r="KJ15" s="14"/>
      <c r="KK15" s="14"/>
      <c r="KL15" s="14"/>
      <c r="KM15" s="14"/>
      <c r="KN15" s="14"/>
      <c r="KO15" s="14"/>
      <c r="KP15" s="14"/>
      <c r="KQ15" s="14"/>
      <c r="KR15" s="14"/>
      <c r="KS15" s="14"/>
      <c r="KT15" s="14"/>
      <c r="KU15" s="14"/>
      <c r="KV15" s="14"/>
      <c r="KW15" s="14"/>
      <c r="KX15" s="14"/>
      <c r="KY15" s="14"/>
      <c r="KZ15" s="14"/>
      <c r="LA15" s="14"/>
      <c r="LB15" s="14"/>
      <c r="LC15" s="14"/>
      <c r="LD15" s="14"/>
      <c r="LE15" s="14"/>
      <c r="LF15" s="14"/>
      <c r="LG15" s="14"/>
      <c r="LH15" s="14"/>
      <c r="LI15" s="14"/>
      <c r="LJ15" s="12">
        <f t="shared" si="2"/>
        <v>10</v>
      </c>
      <c r="LK15" s="6">
        <f t="shared" si="3"/>
        <v>261.69899999999996</v>
      </c>
      <c r="LL15" s="2">
        <f t="shared" si="4"/>
        <v>1.1972189997378837E-2</v>
      </c>
      <c r="LM15" s="7">
        <f t="shared" si="5"/>
        <v>1.3921151159737646</v>
      </c>
      <c r="LN15" s="7">
        <f t="shared" si="6"/>
        <v>1.6983804414895596</v>
      </c>
      <c r="LO15" s="7">
        <f t="shared" si="7"/>
        <v>1.0858497904579696</v>
      </c>
      <c r="LP15" s="7">
        <f>MIN(LN15:LO15)</f>
        <v>1.0858497904579696</v>
      </c>
    </row>
    <row r="16" spans="1:328" ht="30" customHeight="1">
      <c r="A16" s="2" t="s">
        <v>30</v>
      </c>
      <c r="B16" s="2" t="s">
        <v>31</v>
      </c>
      <c r="C16" s="2" t="s">
        <v>37</v>
      </c>
      <c r="D16" s="2" t="s">
        <v>38</v>
      </c>
      <c r="E16" s="5">
        <v>14.05</v>
      </c>
      <c r="F16" s="5">
        <v>14.032</v>
      </c>
      <c r="G16" s="5">
        <f t="shared" si="1"/>
        <v>14.041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>
        <v>14.037000000000001</v>
      </c>
      <c r="AC16" s="5">
        <v>14.042</v>
      </c>
      <c r="AD16" s="5">
        <v>14.04</v>
      </c>
      <c r="AE16" s="5">
        <v>14.039</v>
      </c>
      <c r="AF16" s="5">
        <v>14.039</v>
      </c>
      <c r="AG16" s="5"/>
      <c r="AH16" s="5"/>
      <c r="AI16" s="5"/>
      <c r="AJ16" s="5"/>
      <c r="AK16" s="5"/>
      <c r="AL16" s="5">
        <v>14.039</v>
      </c>
      <c r="AM16" s="5">
        <v>14.037000000000001</v>
      </c>
      <c r="AN16" s="5">
        <v>14.04</v>
      </c>
      <c r="AO16" s="5">
        <v>14.03</v>
      </c>
      <c r="AP16" s="5">
        <v>14.039</v>
      </c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14.034000000000001</v>
      </c>
      <c r="BB16" s="5">
        <v>14.036</v>
      </c>
      <c r="BC16" s="5">
        <v>14.04</v>
      </c>
      <c r="BD16" s="5">
        <v>14.045999999999999</v>
      </c>
      <c r="BE16" s="5">
        <v>14.032999999999999</v>
      </c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13"/>
      <c r="HN16" s="14"/>
      <c r="HO16" s="14"/>
      <c r="HP16" s="14"/>
      <c r="HQ16" s="14"/>
      <c r="HR16" s="14"/>
      <c r="HS16" s="14"/>
      <c r="HT16" s="14"/>
      <c r="HU16" s="14"/>
      <c r="HV16" s="14"/>
      <c r="HW16" s="14"/>
      <c r="HX16" s="11"/>
      <c r="HY16" s="11"/>
      <c r="HZ16" s="11"/>
      <c r="IA16" s="11"/>
      <c r="IB16" s="11"/>
      <c r="IC16" s="11"/>
      <c r="ID16" s="11"/>
      <c r="IE16" s="11"/>
      <c r="IF16" s="11"/>
      <c r="IG16" s="11"/>
      <c r="IH16" s="14"/>
      <c r="II16" s="14"/>
      <c r="IJ16" s="14"/>
      <c r="IK16" s="14"/>
      <c r="IL16" s="14"/>
      <c r="IM16" s="14"/>
      <c r="IN16" s="14"/>
      <c r="IO16" s="14"/>
      <c r="IP16" s="14"/>
      <c r="IQ16" s="14"/>
      <c r="IR16" s="14"/>
      <c r="IS16" s="14"/>
      <c r="IT16" s="14"/>
      <c r="IU16" s="14"/>
      <c r="IV16" s="14"/>
      <c r="IW16" s="14"/>
      <c r="IX16" s="14"/>
      <c r="IY16" s="14"/>
      <c r="IZ16" s="14"/>
      <c r="JA16" s="14"/>
      <c r="JB16" s="14"/>
      <c r="JC16" s="14"/>
      <c r="JD16" s="14"/>
      <c r="JE16" s="14"/>
      <c r="JF16" s="14"/>
      <c r="JG16" s="14"/>
      <c r="JH16" s="14"/>
      <c r="JI16" s="14"/>
      <c r="JJ16" s="14"/>
      <c r="JK16" s="14"/>
      <c r="JL16" s="14"/>
      <c r="JM16" s="14"/>
      <c r="JN16" s="14"/>
      <c r="JO16" s="14"/>
      <c r="JP16" s="14"/>
      <c r="JQ16" s="14"/>
      <c r="JR16" s="14"/>
      <c r="JS16" s="14"/>
      <c r="JT16" s="14"/>
      <c r="JU16" s="14"/>
      <c r="JV16" s="14"/>
      <c r="JW16" s="14"/>
      <c r="JX16" s="14"/>
      <c r="JY16" s="14"/>
      <c r="JZ16" s="14"/>
      <c r="KA16" s="14"/>
      <c r="KB16" s="14"/>
      <c r="KC16" s="14"/>
      <c r="KD16" s="14"/>
      <c r="KE16" s="14"/>
      <c r="KF16" s="14"/>
      <c r="KG16" s="14"/>
      <c r="KH16" s="14"/>
      <c r="KI16" s="14"/>
      <c r="KJ16" s="14"/>
      <c r="KK16" s="14"/>
      <c r="KL16" s="14"/>
      <c r="KM16" s="14"/>
      <c r="KN16" s="14"/>
      <c r="KO16" s="14"/>
      <c r="KP16" s="14"/>
      <c r="KQ16" s="14"/>
      <c r="KR16" s="14"/>
      <c r="KS16" s="14"/>
      <c r="KT16" s="14"/>
      <c r="KU16" s="14"/>
      <c r="KV16" s="14"/>
      <c r="KW16" s="14"/>
      <c r="KX16" s="14"/>
      <c r="KY16" s="14"/>
      <c r="KZ16" s="14"/>
      <c r="LA16" s="14"/>
      <c r="LB16" s="14"/>
      <c r="LC16" s="14"/>
      <c r="LD16" s="14"/>
      <c r="LE16" s="14"/>
      <c r="LF16" s="14"/>
      <c r="LG16" s="14"/>
      <c r="LH16" s="14"/>
      <c r="LI16" s="14"/>
      <c r="LJ16" s="12">
        <f t="shared" si="2"/>
        <v>21</v>
      </c>
      <c r="LK16" s="6">
        <f t="shared" si="3"/>
        <v>61.944809523809532</v>
      </c>
      <c r="LL16" s="2">
        <f t="shared" si="4"/>
        <v>8.2196049030299687E-3</v>
      </c>
      <c r="LM16" s="7">
        <f t="shared" si="5"/>
        <v>0.60830174430367745</v>
      </c>
      <c r="LN16" s="7">
        <f t="shared" si="6"/>
        <v>0.53491931165710327</v>
      </c>
      <c r="LO16" s="7">
        <f t="shared" si="7"/>
        <v>0.68168417695025163</v>
      </c>
      <c r="LP16" s="7">
        <f t="shared" si="0"/>
        <v>0.53491931165710327</v>
      </c>
    </row>
    <row r="17" spans="1:328" ht="30" customHeight="1">
      <c r="A17" s="2" t="s">
        <v>30</v>
      </c>
      <c r="B17" s="2" t="s">
        <v>31</v>
      </c>
      <c r="C17" s="2" t="s">
        <v>37</v>
      </c>
      <c r="D17" s="2" t="s">
        <v>39</v>
      </c>
      <c r="E17" s="8">
        <v>261.76</v>
      </c>
      <c r="F17" s="8">
        <v>261.66000000000003</v>
      </c>
      <c r="G17" s="8">
        <f t="shared" si="1"/>
        <v>261.71000000000004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>
        <v>261.7</v>
      </c>
      <c r="AC17" s="5">
        <v>261.68</v>
      </c>
      <c r="AD17" s="5">
        <v>261.70999999999998</v>
      </c>
      <c r="AE17" s="5">
        <v>261.72000000000003</v>
      </c>
      <c r="AF17" s="5">
        <v>261.69</v>
      </c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>
        <v>261.70999999999998</v>
      </c>
      <c r="BB17" s="5">
        <v>261.7</v>
      </c>
      <c r="BC17" s="5">
        <v>261.69</v>
      </c>
      <c r="BD17" s="5">
        <v>261.7</v>
      </c>
      <c r="BE17" s="5">
        <v>261.69</v>
      </c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13"/>
      <c r="HN17" s="14"/>
      <c r="HO17" s="14"/>
      <c r="HP17" s="14"/>
      <c r="HQ17" s="14"/>
      <c r="HR17" s="14"/>
      <c r="HS17" s="14"/>
      <c r="HT17" s="14"/>
      <c r="HU17" s="14"/>
      <c r="HV17" s="14"/>
      <c r="HW17" s="14"/>
      <c r="HX17" s="11"/>
      <c r="HY17" s="11"/>
      <c r="HZ17" s="11"/>
      <c r="IA17" s="11"/>
      <c r="IB17" s="11"/>
      <c r="IC17" s="11"/>
      <c r="ID17" s="11"/>
      <c r="IE17" s="11"/>
      <c r="IF17" s="11"/>
      <c r="IG17" s="11"/>
      <c r="IH17" s="14"/>
      <c r="II17" s="14"/>
      <c r="IJ17" s="14"/>
      <c r="IK17" s="14"/>
      <c r="IL17" s="14"/>
      <c r="IM17" s="14"/>
      <c r="IN17" s="14"/>
      <c r="IO17" s="14"/>
      <c r="IP17" s="14"/>
      <c r="IQ17" s="14"/>
      <c r="IR17" s="14"/>
      <c r="IS17" s="14"/>
      <c r="IT17" s="14"/>
      <c r="IU17" s="14"/>
      <c r="IV17" s="14"/>
      <c r="IW17" s="14"/>
      <c r="IX17" s="14"/>
      <c r="IY17" s="14"/>
      <c r="IZ17" s="14"/>
      <c r="JA17" s="14"/>
      <c r="JB17" s="14"/>
      <c r="JC17" s="14"/>
      <c r="JD17" s="14"/>
      <c r="JE17" s="14"/>
      <c r="JF17" s="14"/>
      <c r="JG17" s="14"/>
      <c r="JH17" s="14"/>
      <c r="JI17" s="14"/>
      <c r="JJ17" s="14"/>
      <c r="JK17" s="14"/>
      <c r="JL17" s="14"/>
      <c r="JM17" s="14"/>
      <c r="JN17" s="14"/>
      <c r="JO17" s="14"/>
      <c r="JP17" s="14"/>
      <c r="JQ17" s="14"/>
      <c r="JR17" s="14"/>
      <c r="JS17" s="14"/>
      <c r="JT17" s="14"/>
      <c r="JU17" s="14"/>
      <c r="JV17" s="14"/>
      <c r="JW17" s="14"/>
      <c r="JX17" s="14"/>
      <c r="JY17" s="14"/>
      <c r="JZ17" s="14"/>
      <c r="KA17" s="14"/>
      <c r="KB17" s="14"/>
      <c r="KC17" s="14"/>
      <c r="KD17" s="14"/>
      <c r="KE17" s="14"/>
      <c r="KF17" s="14"/>
      <c r="KG17" s="14"/>
      <c r="KH17" s="14"/>
      <c r="KI17" s="14"/>
      <c r="KJ17" s="14"/>
      <c r="KK17" s="14"/>
      <c r="KL17" s="14"/>
      <c r="KM17" s="14"/>
      <c r="KN17" s="14"/>
      <c r="KO17" s="14"/>
      <c r="KP17" s="14"/>
      <c r="KQ17" s="14"/>
      <c r="KR17" s="14"/>
      <c r="KS17" s="14"/>
      <c r="KT17" s="14"/>
      <c r="KU17" s="14"/>
      <c r="KV17" s="14"/>
      <c r="KW17" s="14"/>
      <c r="KX17" s="14"/>
      <c r="KY17" s="14"/>
      <c r="KZ17" s="14"/>
      <c r="LA17" s="14"/>
      <c r="LB17" s="14"/>
      <c r="LC17" s="14"/>
      <c r="LD17" s="14"/>
      <c r="LE17" s="14"/>
      <c r="LF17" s="14"/>
      <c r="LG17" s="14"/>
      <c r="LH17" s="14"/>
      <c r="LI17" s="14"/>
      <c r="LJ17" s="12">
        <f t="shared" si="2"/>
        <v>6</v>
      </c>
      <c r="LK17" s="6">
        <f t="shared" si="3"/>
        <v>85.025000000000006</v>
      </c>
      <c r="LL17" s="2">
        <f t="shared" si="4"/>
        <v>1.200000000000164E-2</v>
      </c>
      <c r="LM17" s="7">
        <f t="shared" si="5"/>
        <v>0.41666666666662555</v>
      </c>
      <c r="LN17" s="7">
        <f t="shared" si="6"/>
        <v>0.41666666666662555</v>
      </c>
      <c r="LO17" s="7">
        <f t="shared" si="7"/>
        <v>0.41666666666662555</v>
      </c>
      <c r="LP17" s="7">
        <f t="shared" si="0"/>
        <v>0.41666666666662555</v>
      </c>
    </row>
    <row r="18" spans="1:328" ht="30" customHeight="1">
      <c r="A18" s="2" t="s">
        <v>41</v>
      </c>
      <c r="B18" s="2" t="s">
        <v>42</v>
      </c>
      <c r="C18" s="2" t="s">
        <v>43</v>
      </c>
      <c r="D18" s="2" t="s">
        <v>33</v>
      </c>
      <c r="E18" s="5">
        <v>61.957999999999998</v>
      </c>
      <c r="F18" s="5">
        <v>61.927999999999997</v>
      </c>
      <c r="G18" s="5">
        <f t="shared" si="1"/>
        <v>61.942999999999998</v>
      </c>
      <c r="H18" s="5">
        <v>61.954000000000001</v>
      </c>
      <c r="I18" s="5">
        <v>61.951000000000001</v>
      </c>
      <c r="J18" s="5">
        <v>61.951999999999998</v>
      </c>
      <c r="K18" s="5">
        <v>61.95</v>
      </c>
      <c r="L18" s="5">
        <v>61.948</v>
      </c>
      <c r="M18" s="5">
        <v>61.945999999999998</v>
      </c>
      <c r="N18" s="5">
        <v>61.945</v>
      </c>
      <c r="O18" s="5">
        <v>61.944000000000003</v>
      </c>
      <c r="P18" s="5">
        <v>61.944000000000003</v>
      </c>
      <c r="Q18" s="5">
        <v>61.945999999999998</v>
      </c>
      <c r="R18" s="5">
        <v>61.948</v>
      </c>
      <c r="S18" s="5">
        <v>61.948999999999998</v>
      </c>
      <c r="T18" s="5">
        <v>61.95</v>
      </c>
      <c r="U18" s="5">
        <v>61.953000000000003</v>
      </c>
      <c r="V18" s="5">
        <v>61.951000000000001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>
        <v>61.929000000000002</v>
      </c>
      <c r="BB18" s="5">
        <v>61.933</v>
      </c>
      <c r="BC18" s="5">
        <v>61.927999999999997</v>
      </c>
      <c r="BD18" s="5">
        <v>61.936999999999998</v>
      </c>
      <c r="BE18" s="5">
        <v>61.930999999999997</v>
      </c>
      <c r="BF18" s="5"/>
      <c r="BG18" s="5"/>
      <c r="BH18" s="5"/>
      <c r="BI18" s="5"/>
      <c r="BJ18" s="5"/>
      <c r="BK18" s="5">
        <v>61.951999999999998</v>
      </c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>
        <v>61.945</v>
      </c>
      <c r="CF18" s="5">
        <v>61.948</v>
      </c>
      <c r="CG18" s="5">
        <v>61.951000000000001</v>
      </c>
      <c r="CH18" s="5">
        <v>61.947000000000003</v>
      </c>
      <c r="CI18" s="5">
        <v>61.948999999999998</v>
      </c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>
        <v>61.948</v>
      </c>
      <c r="DE18" s="5">
        <v>61.945999999999998</v>
      </c>
      <c r="DF18" s="5">
        <v>61.951999999999998</v>
      </c>
      <c r="DG18" s="5">
        <v>61.954000000000001</v>
      </c>
      <c r="DH18" s="5">
        <v>61.948999999999998</v>
      </c>
      <c r="DI18" s="5">
        <v>61.947000000000003</v>
      </c>
      <c r="DJ18" s="5">
        <v>61.951000000000001</v>
      </c>
      <c r="DK18" s="5">
        <v>61.947000000000003</v>
      </c>
      <c r="DL18" s="5">
        <v>61.948999999999998</v>
      </c>
      <c r="DM18" s="5">
        <v>61.947000000000003</v>
      </c>
      <c r="DN18" s="5">
        <v>61.945</v>
      </c>
      <c r="DO18" s="5">
        <v>61.945999999999998</v>
      </c>
      <c r="DP18" s="5">
        <v>91.951999999999998</v>
      </c>
      <c r="DQ18" s="5">
        <v>61.951000000000001</v>
      </c>
      <c r="DR18" s="5">
        <v>61.953000000000003</v>
      </c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>
        <v>61.956000000000003</v>
      </c>
      <c r="HM18" s="13">
        <v>61.948</v>
      </c>
      <c r="HN18" s="14">
        <v>61.947000000000003</v>
      </c>
      <c r="HO18" s="14">
        <v>61.945999999999998</v>
      </c>
      <c r="HP18" s="14">
        <v>61.951000000000001</v>
      </c>
      <c r="HQ18" s="14"/>
      <c r="HR18" s="14"/>
      <c r="HS18" s="14"/>
      <c r="HT18" s="14"/>
      <c r="HU18" s="14"/>
      <c r="HV18" s="14"/>
      <c r="HW18" s="14"/>
      <c r="HX18" s="11"/>
      <c r="HY18" s="11"/>
      <c r="HZ18" s="11"/>
      <c r="IA18" s="11"/>
      <c r="IB18" s="11"/>
      <c r="IC18" s="11"/>
      <c r="ID18" s="11"/>
      <c r="IE18" s="11"/>
      <c r="IF18" s="11"/>
      <c r="IG18" s="11"/>
      <c r="IH18" s="14">
        <v>61.95</v>
      </c>
      <c r="II18" s="14">
        <v>61.951999999999998</v>
      </c>
      <c r="IJ18" s="14">
        <v>61.951000000000001</v>
      </c>
      <c r="IK18" s="14">
        <v>61.948999999999998</v>
      </c>
      <c r="IL18" s="14">
        <v>61.947000000000003</v>
      </c>
      <c r="IM18" s="14">
        <v>61.951999999999998</v>
      </c>
      <c r="IN18" s="14">
        <v>61.95</v>
      </c>
      <c r="IO18" s="14">
        <v>61.948999999999998</v>
      </c>
      <c r="IP18" s="14">
        <v>61.95</v>
      </c>
      <c r="IQ18" s="14">
        <v>61.948999999999998</v>
      </c>
      <c r="IR18" s="14"/>
      <c r="IS18" s="14"/>
      <c r="IT18" s="14"/>
      <c r="IU18" s="14"/>
      <c r="IV18" s="14"/>
      <c r="IW18" s="14">
        <v>61.948</v>
      </c>
      <c r="IX18" s="14">
        <v>61.951999999999998</v>
      </c>
      <c r="IY18" s="14">
        <v>61.954000000000001</v>
      </c>
      <c r="IZ18" s="14">
        <v>61.956000000000003</v>
      </c>
      <c r="JA18" s="14">
        <v>61.951999999999998</v>
      </c>
      <c r="JB18" s="14"/>
      <c r="JC18" s="14"/>
      <c r="JD18" s="14"/>
      <c r="JE18" s="14"/>
      <c r="JF18" s="14"/>
      <c r="JG18" s="14">
        <v>61.951000000000001</v>
      </c>
      <c r="JH18" s="14">
        <v>61.948</v>
      </c>
      <c r="JI18" s="14">
        <v>61.951999999999998</v>
      </c>
      <c r="JJ18" s="14">
        <v>61.954000000000001</v>
      </c>
      <c r="JK18" s="14">
        <v>91.951999999999998</v>
      </c>
      <c r="JL18" s="14"/>
      <c r="JM18" s="14"/>
      <c r="JN18" s="14"/>
      <c r="JO18" s="14"/>
      <c r="JP18" s="14"/>
      <c r="JQ18" s="14">
        <v>61.954000000000001</v>
      </c>
      <c r="JR18" s="14">
        <v>61.951999999999998</v>
      </c>
      <c r="JS18" s="14">
        <v>61.951000000000001</v>
      </c>
      <c r="JT18" s="14">
        <v>61.947000000000003</v>
      </c>
      <c r="JU18" s="14">
        <v>61.951999999999998</v>
      </c>
      <c r="JV18" s="14"/>
      <c r="JW18" s="14"/>
      <c r="JX18" s="14"/>
      <c r="JY18" s="14"/>
      <c r="JZ18" s="14"/>
      <c r="KA18" s="14">
        <v>61.942</v>
      </c>
      <c r="KB18" s="14">
        <v>61.945999999999998</v>
      </c>
      <c r="KC18" s="14">
        <v>61.951000000000001</v>
      </c>
      <c r="KD18" s="14">
        <v>61.951999999999998</v>
      </c>
      <c r="KE18" s="14">
        <v>61.948999999999998</v>
      </c>
      <c r="KF18" s="14"/>
      <c r="KG18" s="14"/>
      <c r="KH18" s="14"/>
      <c r="KI18" s="14"/>
      <c r="KJ18" s="14"/>
      <c r="KK18" s="14"/>
      <c r="KL18" s="14"/>
      <c r="KM18" s="14"/>
      <c r="KN18" s="14"/>
      <c r="KO18" s="14"/>
      <c r="KP18" s="14"/>
      <c r="KQ18" s="14"/>
      <c r="KR18" s="14"/>
      <c r="KS18" s="14"/>
      <c r="KT18" s="14"/>
      <c r="KU18" s="14"/>
      <c r="KV18" s="14"/>
      <c r="KW18" s="14"/>
      <c r="KX18" s="14"/>
      <c r="KY18" s="14"/>
      <c r="KZ18" s="14"/>
      <c r="LA18" s="14"/>
      <c r="LB18" s="14"/>
      <c r="LC18" s="14"/>
      <c r="LD18" s="14"/>
      <c r="LE18" s="14"/>
      <c r="LF18" s="14"/>
      <c r="LG18" s="14"/>
      <c r="LH18" s="14"/>
      <c r="LI18" s="14"/>
      <c r="LJ18" s="12">
        <f t="shared" si="2"/>
        <v>16</v>
      </c>
      <c r="LK18" s="6">
        <f t="shared" si="3"/>
        <v>16.036875000000002</v>
      </c>
      <c r="LL18" s="2">
        <f t="shared" si="4"/>
        <v>7.6059187479228518E-3</v>
      </c>
      <c r="LM18" s="7">
        <f t="shared" si="5"/>
        <v>0.54781898213216162</v>
      </c>
      <c r="LN18" s="7">
        <f t="shared" si="6"/>
        <v>0.5752099312386646</v>
      </c>
      <c r="LO18" s="7">
        <f t="shared" si="7"/>
        <v>0.52042803302565865</v>
      </c>
      <c r="LP18" s="7">
        <f>MIN(LN18:LO18)</f>
        <v>0.52042803302565865</v>
      </c>
    </row>
    <row r="19" spans="1:328" ht="30" customHeight="1">
      <c r="A19" s="2" t="s">
        <v>41</v>
      </c>
      <c r="B19" s="2" t="s">
        <v>42</v>
      </c>
      <c r="C19" s="2" t="s">
        <v>43</v>
      </c>
      <c r="D19" s="2" t="s">
        <v>34</v>
      </c>
      <c r="E19" s="5">
        <v>85.04</v>
      </c>
      <c r="F19" s="5">
        <v>85.01</v>
      </c>
      <c r="G19" s="5">
        <f t="shared" si="1"/>
        <v>85.025000000000006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85.012</v>
      </c>
      <c r="BB19" s="5">
        <v>85.016000000000005</v>
      </c>
      <c r="BC19" s="5">
        <v>85.04</v>
      </c>
      <c r="BD19" s="5">
        <v>85.033000000000001</v>
      </c>
      <c r="BE19" s="5">
        <v>85.015000000000001</v>
      </c>
      <c r="BF19" s="5"/>
      <c r="BG19" s="5"/>
      <c r="BH19" s="5"/>
      <c r="BI19" s="5"/>
      <c r="BJ19" s="5"/>
      <c r="BK19" s="5">
        <v>85.034000000000006</v>
      </c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>
        <v>85.031999999999996</v>
      </c>
      <c r="CF19" s="5">
        <v>85.027000000000001</v>
      </c>
      <c r="CG19" s="5">
        <v>85.022999999999996</v>
      </c>
      <c r="CH19" s="5">
        <v>85.021000000000001</v>
      </c>
      <c r="CI19" s="5">
        <v>85.019000000000005</v>
      </c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>
        <v>85.025999999999996</v>
      </c>
      <c r="DE19" s="5">
        <v>85.024000000000001</v>
      </c>
      <c r="DF19" s="5">
        <v>85.027000000000001</v>
      </c>
      <c r="DG19" s="5">
        <v>85.031000000000006</v>
      </c>
      <c r="DH19" s="5">
        <v>85.03</v>
      </c>
      <c r="DI19" s="5">
        <v>85.019000000000005</v>
      </c>
      <c r="DJ19" s="5">
        <v>85.025000000000006</v>
      </c>
      <c r="DK19" s="5">
        <v>85.025000000000006</v>
      </c>
      <c r="DL19" s="5">
        <v>85.027000000000001</v>
      </c>
      <c r="DM19" s="5">
        <v>85.033000000000001</v>
      </c>
      <c r="DN19" s="5">
        <v>85.031999999999996</v>
      </c>
      <c r="DO19" s="5">
        <v>85.028000000000006</v>
      </c>
      <c r="DP19" s="5">
        <v>85.03</v>
      </c>
      <c r="DQ19" s="5">
        <v>85.028999999999996</v>
      </c>
      <c r="DR19" s="5">
        <v>85.025999999999996</v>
      </c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>
        <v>85.028999999999996</v>
      </c>
      <c r="HM19" s="13">
        <v>85.027000000000001</v>
      </c>
      <c r="HN19" s="14">
        <v>85.025999999999996</v>
      </c>
      <c r="HO19" s="14">
        <v>85.028000000000006</v>
      </c>
      <c r="HP19" s="14">
        <v>85.031000000000006</v>
      </c>
      <c r="HQ19" s="14"/>
      <c r="HR19" s="14"/>
      <c r="HS19" s="14"/>
      <c r="HT19" s="14"/>
      <c r="HU19" s="14"/>
      <c r="HV19" s="14"/>
      <c r="HW19" s="14"/>
      <c r="HX19" s="11"/>
      <c r="HY19" s="11"/>
      <c r="HZ19" s="11"/>
      <c r="IA19" s="11"/>
      <c r="IB19" s="11"/>
      <c r="IC19" s="11"/>
      <c r="ID19" s="11"/>
      <c r="IE19" s="11"/>
      <c r="IF19" s="11"/>
      <c r="IG19" s="11"/>
      <c r="IH19" s="14"/>
      <c r="II19" s="14"/>
      <c r="IJ19" s="14"/>
      <c r="IK19" s="14"/>
      <c r="IL19" s="14"/>
      <c r="IM19" s="14">
        <v>85.022000000000006</v>
      </c>
      <c r="IN19" s="14">
        <v>85.021000000000001</v>
      </c>
      <c r="IO19" s="14">
        <v>85.022000000000006</v>
      </c>
      <c r="IP19" s="14">
        <v>85.022999999999996</v>
      </c>
      <c r="IQ19" s="14">
        <v>85.019000000000005</v>
      </c>
      <c r="IR19" s="14"/>
      <c r="IS19" s="14"/>
      <c r="IT19" s="14"/>
      <c r="IU19" s="14"/>
      <c r="IV19" s="14"/>
      <c r="IW19" s="14">
        <v>85.034000000000006</v>
      </c>
      <c r="IX19" s="14">
        <v>85.037999999999997</v>
      </c>
      <c r="IY19" s="14">
        <v>85.031000000000006</v>
      </c>
      <c r="IZ19" s="14">
        <v>85.028999999999996</v>
      </c>
      <c r="JA19" s="14">
        <v>85.027000000000001</v>
      </c>
      <c r="JB19" s="14"/>
      <c r="JC19" s="14"/>
      <c r="JD19" s="14"/>
      <c r="JE19" s="14"/>
      <c r="JF19" s="14"/>
      <c r="JG19" s="14">
        <v>85.031999999999996</v>
      </c>
      <c r="JH19" s="14">
        <v>85.027000000000001</v>
      </c>
      <c r="JI19" s="14">
        <v>85.025999999999996</v>
      </c>
      <c r="JJ19" s="14">
        <v>85.022999999999996</v>
      </c>
      <c r="JK19" s="14">
        <v>85.025999999999996</v>
      </c>
      <c r="JL19" s="14"/>
      <c r="JM19" s="14"/>
      <c r="JN19" s="14"/>
      <c r="JO19" s="14"/>
      <c r="JP19" s="14"/>
      <c r="JQ19" s="14">
        <v>85.031000000000006</v>
      </c>
      <c r="JR19" s="14">
        <v>85.028000000000006</v>
      </c>
      <c r="JS19" s="14">
        <v>85.024000000000001</v>
      </c>
      <c r="JT19" s="14">
        <v>85.025999999999996</v>
      </c>
      <c r="JU19" s="14">
        <v>85.024000000000001</v>
      </c>
      <c r="JV19" s="14"/>
      <c r="JW19" s="14"/>
      <c r="JX19" s="14"/>
      <c r="JY19" s="14"/>
      <c r="JZ19" s="14"/>
      <c r="KA19" s="14">
        <v>85.028999999999996</v>
      </c>
      <c r="KB19" s="14">
        <v>85.028000000000006</v>
      </c>
      <c r="KC19" s="14">
        <v>85.027000000000001</v>
      </c>
      <c r="KD19" s="14">
        <v>85.025999999999996</v>
      </c>
      <c r="KE19" s="14">
        <v>85.028000000000006</v>
      </c>
      <c r="KF19" s="14"/>
      <c r="KG19" s="14"/>
      <c r="KH19" s="14"/>
      <c r="KI19" s="14"/>
      <c r="KJ19" s="14"/>
      <c r="KK19" s="14"/>
      <c r="KL19" s="14"/>
      <c r="KM19" s="14"/>
      <c r="KN19" s="14"/>
      <c r="KO19" s="14"/>
      <c r="KP19" s="14"/>
      <c r="KQ19" s="14"/>
      <c r="KR19" s="14"/>
      <c r="KS19" s="14"/>
      <c r="KT19" s="14"/>
      <c r="KU19" s="14"/>
      <c r="KV19" s="14"/>
      <c r="KW19" s="14"/>
      <c r="KX19" s="14"/>
      <c r="KY19" s="14"/>
      <c r="KZ19" s="14"/>
      <c r="LA19" s="14"/>
      <c r="LB19" s="14"/>
      <c r="LC19" s="14"/>
      <c r="LD19" s="14"/>
      <c r="LE19" s="14"/>
      <c r="LF19" s="14"/>
      <c r="LG19" s="14"/>
      <c r="LH19" s="14"/>
      <c r="LI19" s="14"/>
      <c r="LJ19" s="12">
        <f t="shared" si="2"/>
        <v>6</v>
      </c>
      <c r="LK19" s="6">
        <f t="shared" si="3"/>
        <v>51.999666666666677</v>
      </c>
      <c r="LL19" s="2">
        <f t="shared" si="4"/>
        <v>8.3825214981337517E-3</v>
      </c>
      <c r="LM19" s="7">
        <f t="shared" si="5"/>
        <v>0.59647923373812617</v>
      </c>
      <c r="LN19" s="7">
        <f t="shared" si="6"/>
        <v>0.80856073906692383</v>
      </c>
      <c r="LO19" s="7">
        <f t="shared" si="7"/>
        <v>0.38439772840932862</v>
      </c>
      <c r="LP19" s="7">
        <f t="shared" si="0"/>
        <v>0.38439772840932862</v>
      </c>
    </row>
    <row r="20" spans="1:328" ht="30" customHeight="1">
      <c r="A20" s="2" t="s">
        <v>41</v>
      </c>
      <c r="B20" s="2" t="s">
        <v>42</v>
      </c>
      <c r="C20" s="2" t="s">
        <v>43</v>
      </c>
      <c r="D20" s="2" t="s">
        <v>35</v>
      </c>
      <c r="E20" s="5">
        <v>16.05</v>
      </c>
      <c r="F20" s="5">
        <v>16.024999999999999</v>
      </c>
      <c r="G20" s="5">
        <f t="shared" si="1"/>
        <v>16.037500000000001</v>
      </c>
      <c r="H20" s="5">
        <v>16.041</v>
      </c>
      <c r="I20" s="5">
        <v>16.039000000000001</v>
      </c>
      <c r="J20" s="5">
        <v>16.042000000000002</v>
      </c>
      <c r="K20" s="5">
        <v>16.038</v>
      </c>
      <c r="L20" s="5">
        <v>16.04</v>
      </c>
      <c r="M20" s="5"/>
      <c r="N20" s="5"/>
      <c r="O20" s="5"/>
      <c r="P20" s="5"/>
      <c r="Q20" s="5"/>
      <c r="R20" s="5">
        <v>16.044</v>
      </c>
      <c r="S20" s="5">
        <v>16.042999999999999</v>
      </c>
      <c r="T20" s="5">
        <v>16.04</v>
      </c>
      <c r="U20" s="5">
        <v>16.041</v>
      </c>
      <c r="V20" s="5">
        <v>16.044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>
        <v>16.024999999999999</v>
      </c>
      <c r="BB20" s="5">
        <v>16.027000000000001</v>
      </c>
      <c r="BC20" s="5">
        <v>16.026</v>
      </c>
      <c r="BD20" s="5">
        <v>16.024999999999999</v>
      </c>
      <c r="BE20" s="5">
        <v>16.029</v>
      </c>
      <c r="BF20" s="5"/>
      <c r="BG20" s="5"/>
      <c r="BH20" s="5"/>
      <c r="BI20" s="5"/>
      <c r="BJ20" s="5"/>
      <c r="BK20" s="5">
        <v>16.045999999999999</v>
      </c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16.047000000000001</v>
      </c>
      <c r="CF20" s="5">
        <v>16.042999999999999</v>
      </c>
      <c r="CG20" s="5">
        <v>16.048999999999999</v>
      </c>
      <c r="CH20" s="5">
        <v>16.050999999999998</v>
      </c>
      <c r="CI20" s="5">
        <v>16.047999999999998</v>
      </c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>
        <v>16.033999999999999</v>
      </c>
      <c r="DE20" s="5">
        <v>16.041</v>
      </c>
      <c r="DF20" s="5">
        <v>16.044</v>
      </c>
      <c r="DG20" s="5">
        <v>16.042000000000002</v>
      </c>
      <c r="DH20" s="5">
        <v>16.039000000000001</v>
      </c>
      <c r="DI20" s="5">
        <v>16.047999999999998</v>
      </c>
      <c r="DJ20" s="5">
        <v>16.048999999999999</v>
      </c>
      <c r="DK20" s="5">
        <v>16.044</v>
      </c>
      <c r="DL20" s="5">
        <v>16.047000000000001</v>
      </c>
      <c r="DM20" s="5">
        <v>16.045000000000002</v>
      </c>
      <c r="DN20" s="5">
        <v>16.042000000000002</v>
      </c>
      <c r="DO20" s="5">
        <v>16.041</v>
      </c>
      <c r="DP20" s="5">
        <v>16.044</v>
      </c>
      <c r="DQ20" s="5">
        <v>16.039000000000001</v>
      </c>
      <c r="DR20" s="5">
        <v>16.041</v>
      </c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>
        <v>16.045999999999999</v>
      </c>
      <c r="HM20" s="13">
        <v>16.041</v>
      </c>
      <c r="HN20" s="14">
        <v>16.038</v>
      </c>
      <c r="HO20" s="14">
        <v>16.039000000000001</v>
      </c>
      <c r="HP20" s="14">
        <v>16.036999999999999</v>
      </c>
      <c r="HQ20" s="14"/>
      <c r="HR20" s="14"/>
      <c r="HS20" s="14"/>
      <c r="HT20" s="14"/>
      <c r="HU20" s="14"/>
      <c r="HV20" s="14"/>
      <c r="HW20" s="14"/>
      <c r="HX20" s="11"/>
      <c r="HY20" s="11"/>
      <c r="HZ20" s="11"/>
      <c r="IA20" s="11"/>
      <c r="IB20" s="11"/>
      <c r="IC20" s="11"/>
      <c r="ID20" s="11"/>
      <c r="IE20" s="11"/>
      <c r="IF20" s="11"/>
      <c r="IG20" s="11"/>
      <c r="IH20" s="14"/>
      <c r="II20" s="14"/>
      <c r="IJ20" s="14"/>
      <c r="IK20" s="14"/>
      <c r="IL20" s="14"/>
      <c r="IM20" s="14"/>
      <c r="IN20" s="14"/>
      <c r="IO20" s="14"/>
      <c r="IP20" s="14"/>
      <c r="IQ20" s="14"/>
      <c r="IR20" s="14"/>
      <c r="IS20" s="14"/>
      <c r="IT20" s="14"/>
      <c r="IU20" s="14"/>
      <c r="IV20" s="14"/>
      <c r="IW20" s="14">
        <v>16.052</v>
      </c>
      <c r="IX20" s="14">
        <v>16.047000000000001</v>
      </c>
      <c r="IY20" s="14">
        <v>16.042000000000002</v>
      </c>
      <c r="IZ20" s="14">
        <v>16.044</v>
      </c>
      <c r="JA20" s="14">
        <v>16.041</v>
      </c>
      <c r="JB20" s="14"/>
      <c r="JC20" s="14"/>
      <c r="JD20" s="14"/>
      <c r="JE20" s="14"/>
      <c r="JF20" s="14"/>
      <c r="JG20" s="14">
        <v>16.052</v>
      </c>
      <c r="JH20" s="14">
        <v>16.050999999999998</v>
      </c>
      <c r="JI20" s="14">
        <v>16.047999999999998</v>
      </c>
      <c r="JJ20" s="14">
        <v>16.047000000000001</v>
      </c>
      <c r="JK20" s="14">
        <v>16.044</v>
      </c>
      <c r="JL20" s="14"/>
      <c r="JM20" s="14"/>
      <c r="JN20" s="14"/>
      <c r="JO20" s="14"/>
      <c r="JP20" s="14"/>
      <c r="JQ20" s="14">
        <v>16.042999999999999</v>
      </c>
      <c r="JR20" s="14">
        <v>16.047999999999998</v>
      </c>
      <c r="JS20" s="14">
        <v>16.052</v>
      </c>
      <c r="JT20" s="14">
        <v>16.053000000000001</v>
      </c>
      <c r="JU20" s="14">
        <v>16.045999999999999</v>
      </c>
      <c r="JV20" s="14"/>
      <c r="JW20" s="14"/>
      <c r="JX20" s="14"/>
      <c r="JY20" s="14"/>
      <c r="JZ20" s="14"/>
      <c r="KA20" s="14">
        <v>16.047000000000001</v>
      </c>
      <c r="KB20" s="14">
        <v>16.050999999999998</v>
      </c>
      <c r="KC20" s="14">
        <v>16.052</v>
      </c>
      <c r="KD20" s="14">
        <v>16.045999999999999</v>
      </c>
      <c r="KE20" s="14">
        <v>16.045000000000002</v>
      </c>
      <c r="KF20" s="14"/>
      <c r="KG20" s="14"/>
      <c r="KH20" s="14"/>
      <c r="KI20" s="14"/>
      <c r="KJ20" s="14"/>
      <c r="KK20" s="14"/>
      <c r="KL20" s="14"/>
      <c r="KM20" s="14"/>
      <c r="KN20" s="14"/>
      <c r="KO20" s="14"/>
      <c r="KP20" s="14"/>
      <c r="KQ20" s="14"/>
      <c r="KR20" s="14"/>
      <c r="KS20" s="14"/>
      <c r="KT20" s="14"/>
      <c r="KU20" s="14"/>
      <c r="KV20" s="14"/>
      <c r="KW20" s="14"/>
      <c r="KX20" s="14"/>
      <c r="KY20" s="14"/>
      <c r="KZ20" s="14"/>
      <c r="LA20" s="14"/>
      <c r="LB20" s="14"/>
      <c r="LC20" s="14"/>
      <c r="LD20" s="14"/>
      <c r="LE20" s="14"/>
      <c r="LF20" s="14"/>
      <c r="LG20" s="14"/>
      <c r="LH20" s="14"/>
      <c r="LI20" s="14"/>
      <c r="LJ20" s="12">
        <f t="shared" si="2"/>
        <v>21</v>
      </c>
      <c r="LK20" s="6">
        <f t="shared" si="3"/>
        <v>14.011238095238095</v>
      </c>
      <c r="LL20" s="2">
        <f t="shared" si="4"/>
        <v>1.4275520172325622E-2</v>
      </c>
      <c r="LM20" s="7">
        <f t="shared" si="5"/>
        <v>0.5837498902133228</v>
      </c>
      <c r="LN20" s="7">
        <f t="shared" si="6"/>
        <v>0.43809039379818254</v>
      </c>
      <c r="LO20" s="7">
        <f t="shared" si="7"/>
        <v>0.72940938662846289</v>
      </c>
      <c r="LP20" s="7">
        <f t="shared" si="0"/>
        <v>0.43809039379818254</v>
      </c>
    </row>
    <row r="21" spans="1:328" ht="30" customHeight="1">
      <c r="A21" s="2" t="s">
        <v>41</v>
      </c>
      <c r="B21" s="2" t="s">
        <v>42</v>
      </c>
      <c r="C21" s="2" t="s">
        <v>43</v>
      </c>
      <c r="D21" s="2" t="s">
        <v>36</v>
      </c>
      <c r="E21" s="5">
        <v>52.02</v>
      </c>
      <c r="F21" s="5">
        <v>51.99</v>
      </c>
      <c r="G21" s="5">
        <f t="shared" si="1"/>
        <v>52.005000000000003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>
        <v>51.993000000000002</v>
      </c>
      <c r="BB21" s="5">
        <v>51.997999999999998</v>
      </c>
      <c r="BC21" s="5">
        <v>52.011000000000003</v>
      </c>
      <c r="BD21" s="5">
        <v>51.996000000000002</v>
      </c>
      <c r="BE21" s="5">
        <v>51.991</v>
      </c>
      <c r="BF21" s="5"/>
      <c r="BG21" s="5"/>
      <c r="BH21" s="5"/>
      <c r="BI21" s="5"/>
      <c r="BJ21" s="5"/>
      <c r="BK21" s="5">
        <v>52.009</v>
      </c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>
        <v>52.015000000000001</v>
      </c>
      <c r="CF21" s="5">
        <v>52.011000000000003</v>
      </c>
      <c r="CG21" s="5">
        <v>52.014000000000003</v>
      </c>
      <c r="CH21" s="5">
        <v>52.015999999999998</v>
      </c>
      <c r="CI21" s="5">
        <v>52.012999999999998</v>
      </c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>
        <v>52.015000000000001</v>
      </c>
      <c r="DE21" s="5">
        <v>52.018000000000001</v>
      </c>
      <c r="DF21" s="5">
        <v>52.015999999999998</v>
      </c>
      <c r="DG21" s="5">
        <v>52.011000000000003</v>
      </c>
      <c r="DH21" s="5">
        <v>52.014000000000003</v>
      </c>
      <c r="DI21" s="5">
        <v>52.011000000000003</v>
      </c>
      <c r="DJ21" s="5">
        <v>52.012</v>
      </c>
      <c r="DK21" s="5">
        <v>52.012</v>
      </c>
      <c r="DL21" s="5">
        <v>52.012</v>
      </c>
      <c r="DM21" s="5">
        <v>52.01</v>
      </c>
      <c r="DN21" s="5">
        <v>52.014000000000003</v>
      </c>
      <c r="DO21" s="5">
        <v>52.015999999999998</v>
      </c>
      <c r="DP21" s="5">
        <v>52.012</v>
      </c>
      <c r="DQ21" s="5">
        <v>52.01</v>
      </c>
      <c r="DR21" s="5">
        <v>52.011000000000003</v>
      </c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>
        <v>52.015000000000001</v>
      </c>
      <c r="HM21" s="13">
        <v>52.011000000000003</v>
      </c>
      <c r="HN21" s="14">
        <v>52.01</v>
      </c>
      <c r="HO21" s="14">
        <v>52.012</v>
      </c>
      <c r="HP21" s="14">
        <v>52.014000000000003</v>
      </c>
      <c r="HQ21" s="14"/>
      <c r="HR21" s="14"/>
      <c r="HS21" s="14"/>
      <c r="HT21" s="14"/>
      <c r="HU21" s="14"/>
      <c r="HV21" s="14"/>
      <c r="HW21" s="14"/>
      <c r="HX21" s="11"/>
      <c r="HY21" s="11"/>
      <c r="HZ21" s="11"/>
      <c r="IA21" s="11"/>
      <c r="IB21" s="11"/>
      <c r="IC21" s="11"/>
      <c r="ID21" s="11"/>
      <c r="IE21" s="11"/>
      <c r="IF21" s="11"/>
      <c r="IG21" s="11"/>
      <c r="IH21" s="14"/>
      <c r="II21" s="14"/>
      <c r="IJ21" s="14"/>
      <c r="IK21" s="14"/>
      <c r="IL21" s="14"/>
      <c r="IM21" s="14">
        <v>52.003999999999998</v>
      </c>
      <c r="IN21" s="14">
        <v>52.003</v>
      </c>
      <c r="IO21" s="14">
        <v>52.002000000000002</v>
      </c>
      <c r="IP21" s="14">
        <v>52.011000000000003</v>
      </c>
      <c r="IQ21" s="14">
        <v>52.01</v>
      </c>
      <c r="IR21" s="14"/>
      <c r="IS21" s="14"/>
      <c r="IT21" s="14"/>
      <c r="IU21" s="14"/>
      <c r="IV21" s="14"/>
      <c r="IW21" s="14">
        <v>52.012</v>
      </c>
      <c r="IX21" s="14">
        <v>52.01</v>
      </c>
      <c r="IY21" s="14">
        <v>52.009</v>
      </c>
      <c r="IZ21" s="14">
        <v>52.014000000000003</v>
      </c>
      <c r="JA21" s="14">
        <v>52.012</v>
      </c>
      <c r="JB21" s="14"/>
      <c r="JC21" s="14"/>
      <c r="JD21" s="14"/>
      <c r="JE21" s="14"/>
      <c r="JF21" s="14"/>
      <c r="JG21" s="14">
        <v>52.008000000000003</v>
      </c>
      <c r="JH21" s="14">
        <v>52.006</v>
      </c>
      <c r="JI21" s="14">
        <v>52.003999999999998</v>
      </c>
      <c r="JJ21" s="14">
        <v>52.006</v>
      </c>
      <c r="JK21" s="14">
        <v>52.005000000000003</v>
      </c>
      <c r="JL21" s="14"/>
      <c r="JM21" s="14"/>
      <c r="JN21" s="14"/>
      <c r="JO21" s="14"/>
      <c r="JP21" s="14"/>
      <c r="JQ21" s="14">
        <v>52.006</v>
      </c>
      <c r="JR21" s="14">
        <v>52.008000000000003</v>
      </c>
      <c r="JS21" s="14">
        <v>52.003999999999998</v>
      </c>
      <c r="JT21" s="14">
        <v>52.01</v>
      </c>
      <c r="JU21" s="14">
        <v>52.012</v>
      </c>
      <c r="JV21" s="14"/>
      <c r="JW21" s="14"/>
      <c r="JX21" s="14"/>
      <c r="JY21" s="14"/>
      <c r="JZ21" s="14"/>
      <c r="KA21" s="14">
        <v>52.003999999999998</v>
      </c>
      <c r="KB21" s="14">
        <v>52.006</v>
      </c>
      <c r="KC21" s="14">
        <v>52.012</v>
      </c>
      <c r="KD21" s="14">
        <v>52.011000000000003</v>
      </c>
      <c r="KE21" s="14">
        <v>52.009</v>
      </c>
      <c r="KF21" s="14"/>
      <c r="KG21" s="14"/>
      <c r="KH21" s="14"/>
      <c r="KI21" s="14"/>
      <c r="KJ21" s="14"/>
      <c r="KK21" s="14"/>
      <c r="KL21" s="14"/>
      <c r="KM21" s="14"/>
      <c r="KN21" s="14"/>
      <c r="KO21" s="14"/>
      <c r="KP21" s="14"/>
      <c r="KQ21" s="14"/>
      <c r="KR21" s="14"/>
      <c r="KS21" s="14"/>
      <c r="KT21" s="14"/>
      <c r="KU21" s="14"/>
      <c r="KV21" s="14"/>
      <c r="KW21" s="14"/>
      <c r="KX21" s="14"/>
      <c r="KY21" s="14"/>
      <c r="KZ21" s="14"/>
      <c r="LA21" s="14"/>
      <c r="LB21" s="14"/>
      <c r="LC21" s="14"/>
      <c r="LD21" s="14"/>
      <c r="LE21" s="14"/>
      <c r="LF21" s="14"/>
      <c r="LG21" s="14"/>
      <c r="LH21" s="14"/>
      <c r="LI21" s="14"/>
      <c r="LJ21" s="12">
        <f t="shared" si="2"/>
        <v>21</v>
      </c>
      <c r="LK21" s="6">
        <f t="shared" si="3"/>
        <v>115.96238095238093</v>
      </c>
      <c r="LL21" s="2">
        <f t="shared" si="4"/>
        <v>1.8682816143386585E-2</v>
      </c>
      <c r="LM21" s="7">
        <f t="shared" si="5"/>
        <v>0.8920853547319979</v>
      </c>
      <c r="LN21" s="7">
        <f t="shared" si="6"/>
        <v>0.67118802879887463</v>
      </c>
      <c r="LO21" s="7">
        <f t="shared" si="7"/>
        <v>1.1129826806651211</v>
      </c>
      <c r="LP21" s="7">
        <f t="shared" si="0"/>
        <v>0.67118802879887463</v>
      </c>
    </row>
    <row r="22" spans="1:328" ht="30" customHeight="1">
      <c r="A22" s="2" t="s">
        <v>41</v>
      </c>
      <c r="B22" s="2" t="s">
        <v>42</v>
      </c>
      <c r="C22" s="2" t="s">
        <v>43</v>
      </c>
      <c r="D22" s="2" t="s">
        <v>38</v>
      </c>
      <c r="E22" s="5">
        <v>14.03</v>
      </c>
      <c r="F22" s="5">
        <v>13.98</v>
      </c>
      <c r="G22" s="5">
        <f t="shared" si="1"/>
        <v>14.004999999999999</v>
      </c>
      <c r="H22" s="5">
        <v>14.018000000000001</v>
      </c>
      <c r="I22" s="5">
        <v>14.016999999999999</v>
      </c>
      <c r="J22" s="5">
        <v>14.019</v>
      </c>
      <c r="K22" s="5">
        <v>14.018000000000001</v>
      </c>
      <c r="L22" s="5">
        <v>14.016</v>
      </c>
      <c r="M22" s="5">
        <v>14.026</v>
      </c>
      <c r="N22" s="5">
        <v>14.022</v>
      </c>
      <c r="O22" s="5">
        <v>14.023999999999999</v>
      </c>
      <c r="P22" s="5">
        <v>14.026</v>
      </c>
      <c r="Q22" s="5">
        <v>14.023</v>
      </c>
      <c r="R22" s="5">
        <v>14.012</v>
      </c>
      <c r="S22" s="5">
        <v>14.015000000000001</v>
      </c>
      <c r="T22" s="5">
        <v>14.010999999999999</v>
      </c>
      <c r="U22" s="5">
        <v>14.012</v>
      </c>
      <c r="V22" s="5">
        <v>14.013999999999999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>
        <v>13.983000000000001</v>
      </c>
      <c r="BB22" s="5">
        <v>13.988</v>
      </c>
      <c r="BC22" s="5">
        <v>13.981999999999999</v>
      </c>
      <c r="BD22" s="5">
        <v>14.003</v>
      </c>
      <c r="BE22" s="5">
        <v>13.986000000000001</v>
      </c>
      <c r="BF22" s="5"/>
      <c r="BG22" s="5"/>
      <c r="BH22" s="5"/>
      <c r="BI22" s="5"/>
      <c r="BJ22" s="5"/>
      <c r="BK22" s="5">
        <v>14.021000000000001</v>
      </c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>
        <v>14.016</v>
      </c>
      <c r="CF22" s="5">
        <v>14.012</v>
      </c>
      <c r="CG22" s="5">
        <v>14.018000000000001</v>
      </c>
      <c r="CH22" s="5">
        <v>14.021000000000001</v>
      </c>
      <c r="CI22" s="5">
        <v>14.022</v>
      </c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>
        <v>14.016</v>
      </c>
      <c r="DE22" s="5">
        <v>14.018000000000001</v>
      </c>
      <c r="DF22" s="5">
        <v>14.015000000000001</v>
      </c>
      <c r="DG22" s="5">
        <v>14.012</v>
      </c>
      <c r="DH22" s="5">
        <v>14.013</v>
      </c>
      <c r="DI22" s="5">
        <v>14.013</v>
      </c>
      <c r="DJ22" s="5">
        <v>14.01</v>
      </c>
      <c r="DK22" s="5">
        <v>14.01</v>
      </c>
      <c r="DL22" s="5">
        <v>14.012</v>
      </c>
      <c r="DM22" s="5">
        <v>14.012</v>
      </c>
      <c r="DN22" s="5">
        <v>14.02</v>
      </c>
      <c r="DO22" s="5">
        <v>14.021000000000001</v>
      </c>
      <c r="DP22" s="5">
        <v>14.018000000000001</v>
      </c>
      <c r="DQ22" s="5">
        <v>14.016</v>
      </c>
      <c r="DR22" s="5">
        <v>14.015000000000001</v>
      </c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>
        <v>14.012</v>
      </c>
      <c r="HM22" s="13">
        <v>14.009</v>
      </c>
      <c r="HN22" s="14">
        <v>14.01</v>
      </c>
      <c r="HO22" s="14">
        <v>14.015000000000001</v>
      </c>
      <c r="HP22" s="14">
        <v>14.016</v>
      </c>
      <c r="HQ22" s="14"/>
      <c r="HR22" s="14"/>
      <c r="HS22" s="14"/>
      <c r="HT22" s="14"/>
      <c r="HU22" s="14"/>
      <c r="HV22" s="14"/>
      <c r="HW22" s="14"/>
      <c r="HX22" s="11"/>
      <c r="HY22" s="11"/>
      <c r="HZ22" s="11"/>
      <c r="IA22" s="11"/>
      <c r="IB22" s="11"/>
      <c r="IC22" s="11"/>
      <c r="ID22" s="11"/>
      <c r="IE22" s="11"/>
      <c r="IF22" s="11"/>
      <c r="IG22" s="11"/>
      <c r="IH22" s="14"/>
      <c r="II22" s="14"/>
      <c r="IJ22" s="14"/>
      <c r="IK22" s="14"/>
      <c r="IL22" s="14"/>
      <c r="IM22" s="14">
        <v>14.019</v>
      </c>
      <c r="IN22" s="14">
        <v>14.018000000000001</v>
      </c>
      <c r="IO22" s="14">
        <v>14.02</v>
      </c>
      <c r="IP22" s="14">
        <v>14.021000000000001</v>
      </c>
      <c r="IQ22" s="14">
        <v>14.022</v>
      </c>
      <c r="IR22" s="14"/>
      <c r="IS22" s="14"/>
      <c r="IT22" s="14"/>
      <c r="IU22" s="14"/>
      <c r="IV22" s="14"/>
      <c r="IW22" s="14">
        <v>14.016999999999999</v>
      </c>
      <c r="IX22" s="14">
        <v>14.019</v>
      </c>
      <c r="IY22" s="14">
        <v>14.018000000000001</v>
      </c>
      <c r="IZ22" s="14">
        <v>14.021000000000001</v>
      </c>
      <c r="JA22" s="14">
        <v>14.02</v>
      </c>
      <c r="JB22" s="14"/>
      <c r="JC22" s="14"/>
      <c r="JD22" s="14"/>
      <c r="JE22" s="14"/>
      <c r="JF22" s="14"/>
      <c r="JG22" s="14">
        <v>14.018000000000001</v>
      </c>
      <c r="JH22" s="14">
        <v>14.016999999999999</v>
      </c>
      <c r="JI22" s="14">
        <v>14.022</v>
      </c>
      <c r="JJ22" s="14">
        <v>14.019</v>
      </c>
      <c r="JK22" s="14">
        <v>14.015000000000001</v>
      </c>
      <c r="JL22" s="14"/>
      <c r="JM22" s="14"/>
      <c r="JN22" s="14"/>
      <c r="JO22" s="14"/>
      <c r="JP22" s="14"/>
      <c r="JQ22" s="14">
        <v>14.015000000000001</v>
      </c>
      <c r="JR22" s="14">
        <v>14.016</v>
      </c>
      <c r="JS22" s="14">
        <v>14.018000000000001</v>
      </c>
      <c r="JT22" s="14">
        <v>14.021000000000001</v>
      </c>
      <c r="JU22" s="14">
        <v>14.013999999999999</v>
      </c>
      <c r="JV22" s="14"/>
      <c r="JW22" s="14"/>
      <c r="JX22" s="14"/>
      <c r="JY22" s="14"/>
      <c r="JZ22" s="14"/>
      <c r="KA22" s="14">
        <v>14.018000000000001</v>
      </c>
      <c r="KB22" s="14">
        <v>14.016999999999999</v>
      </c>
      <c r="KC22" s="14">
        <v>14.013999999999999</v>
      </c>
      <c r="KD22" s="14">
        <v>14.012</v>
      </c>
      <c r="KE22" s="14">
        <v>14.015000000000001</v>
      </c>
      <c r="KF22" s="14"/>
      <c r="KG22" s="14"/>
      <c r="KH22" s="14"/>
      <c r="KI22" s="14"/>
      <c r="KJ22" s="14"/>
      <c r="KK22" s="14"/>
      <c r="KL22" s="14"/>
      <c r="KM22" s="14"/>
      <c r="KN22" s="14"/>
      <c r="KO22" s="14"/>
      <c r="KP22" s="14"/>
      <c r="KQ22" s="14"/>
      <c r="KR22" s="14"/>
      <c r="KS22" s="14"/>
      <c r="KT22" s="14"/>
      <c r="KU22" s="14"/>
      <c r="KV22" s="14"/>
      <c r="KW22" s="14"/>
      <c r="KX22" s="14"/>
      <c r="KY22" s="14"/>
      <c r="KZ22" s="14"/>
      <c r="LA22" s="14"/>
      <c r="LB22" s="14"/>
      <c r="LC22" s="14"/>
      <c r="LD22" s="14"/>
      <c r="LE22" s="14"/>
      <c r="LF22" s="14"/>
      <c r="LG22" s="14"/>
      <c r="LH22" s="14"/>
      <c r="LI22" s="14"/>
      <c r="LJ22" s="12">
        <f t="shared" si="2"/>
        <v>40</v>
      </c>
      <c r="LK22" s="6">
        <f t="shared" si="3"/>
        <v>61.94791</v>
      </c>
      <c r="LL22" s="2">
        <f t="shared" si="4"/>
        <v>6.4582207599787177E-3</v>
      </c>
      <c r="LM22" s="7">
        <f t="shared" si="5"/>
        <v>0.7742070433678806</v>
      </c>
      <c r="LN22" s="7">
        <f t="shared" si="6"/>
        <v>0.52078327117201273</v>
      </c>
      <c r="LO22" s="7">
        <f t="shared" si="7"/>
        <v>1.0276308155637484</v>
      </c>
      <c r="LP22" s="7">
        <f t="shared" si="0"/>
        <v>0.52078327117201273</v>
      </c>
    </row>
    <row r="23" spans="1:328" ht="30" customHeight="1">
      <c r="A23" s="2" t="s">
        <v>41</v>
      </c>
      <c r="B23" s="2" t="s">
        <v>42</v>
      </c>
      <c r="C23" s="2" t="s">
        <v>43</v>
      </c>
      <c r="D23" s="2" t="s">
        <v>39</v>
      </c>
      <c r="E23" s="5">
        <v>116</v>
      </c>
      <c r="F23" s="5">
        <v>115.9</v>
      </c>
      <c r="G23" s="5">
        <f t="shared" si="1"/>
        <v>115.95</v>
      </c>
      <c r="H23" s="5">
        <v>115.97</v>
      </c>
      <c r="I23" s="5">
        <v>115.95</v>
      </c>
      <c r="J23" s="5">
        <v>115.96</v>
      </c>
      <c r="K23" s="5">
        <v>115.96</v>
      </c>
      <c r="L23" s="5">
        <v>115.98</v>
      </c>
      <c r="M23" s="5">
        <v>115.92</v>
      </c>
      <c r="N23" s="5">
        <v>115.95</v>
      </c>
      <c r="O23" s="5">
        <v>115.95</v>
      </c>
      <c r="P23" s="5">
        <v>115.94</v>
      </c>
      <c r="Q23" s="5">
        <v>115.95</v>
      </c>
      <c r="R23" s="5">
        <v>115.98</v>
      </c>
      <c r="S23" s="5">
        <v>115.99</v>
      </c>
      <c r="T23" s="5">
        <v>115.99</v>
      </c>
      <c r="U23" s="5">
        <v>115.94</v>
      </c>
      <c r="V23" s="5">
        <v>115.96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>
        <v>115.97</v>
      </c>
      <c r="BB23" s="5">
        <v>115.99</v>
      </c>
      <c r="BC23" s="5">
        <v>115.96</v>
      </c>
      <c r="BD23" s="5">
        <v>115.95</v>
      </c>
      <c r="BE23" s="5">
        <v>115.97</v>
      </c>
      <c r="BF23" s="5"/>
      <c r="BG23" s="5"/>
      <c r="BH23" s="5"/>
      <c r="BI23" s="5"/>
      <c r="BJ23" s="5"/>
      <c r="BK23" s="5">
        <v>115.98</v>
      </c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>
        <v>115.96</v>
      </c>
      <c r="CF23" s="5">
        <v>115.93</v>
      </c>
      <c r="CG23" s="5">
        <v>115.98</v>
      </c>
      <c r="CH23" s="5">
        <v>115.96</v>
      </c>
      <c r="CI23" s="5">
        <v>115.96</v>
      </c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>
        <v>115.96</v>
      </c>
      <c r="DE23" s="5">
        <v>115.95</v>
      </c>
      <c r="DF23" s="5">
        <v>115.97</v>
      </c>
      <c r="DG23" s="5">
        <v>115.96</v>
      </c>
      <c r="DH23" s="5">
        <v>115.94</v>
      </c>
      <c r="DI23" s="5">
        <v>115.99</v>
      </c>
      <c r="DJ23" s="5">
        <v>115.98</v>
      </c>
      <c r="DK23" s="5">
        <v>115.98</v>
      </c>
      <c r="DL23" s="5">
        <v>115.99</v>
      </c>
      <c r="DM23" s="5">
        <v>115.99</v>
      </c>
      <c r="DN23" s="5">
        <v>115.97</v>
      </c>
      <c r="DO23" s="5">
        <v>115.95</v>
      </c>
      <c r="DP23" s="5">
        <v>115.97</v>
      </c>
      <c r="DQ23" s="5">
        <v>115.95</v>
      </c>
      <c r="DR23" s="5">
        <v>115.94</v>
      </c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>
        <v>115.92</v>
      </c>
      <c r="HM23" s="13">
        <v>115.94</v>
      </c>
      <c r="HN23" s="14">
        <v>115.95</v>
      </c>
      <c r="HO23" s="14">
        <v>115.94</v>
      </c>
      <c r="HP23" s="14">
        <v>115.93</v>
      </c>
      <c r="HQ23" s="14"/>
      <c r="HR23" s="14"/>
      <c r="HS23" s="14"/>
      <c r="HT23" s="14"/>
      <c r="HU23" s="14"/>
      <c r="HV23" s="14"/>
      <c r="HW23" s="14"/>
      <c r="HX23" s="11"/>
      <c r="HY23" s="11"/>
      <c r="HZ23" s="11"/>
      <c r="IA23" s="11"/>
      <c r="IB23" s="11"/>
      <c r="IC23" s="11"/>
      <c r="ID23" s="11"/>
      <c r="IE23" s="11"/>
      <c r="IF23" s="11"/>
      <c r="IG23" s="11"/>
      <c r="IH23" s="14"/>
      <c r="II23" s="14"/>
      <c r="IJ23" s="14"/>
      <c r="IK23" s="14"/>
      <c r="IL23" s="14"/>
      <c r="IM23" s="14"/>
      <c r="IN23" s="14"/>
      <c r="IO23" s="14"/>
      <c r="IP23" s="14"/>
      <c r="IQ23" s="14"/>
      <c r="IR23" s="14"/>
      <c r="IS23" s="14"/>
      <c r="IT23" s="14"/>
      <c r="IU23" s="14"/>
      <c r="IV23" s="14"/>
      <c r="IW23" s="14">
        <v>116.01</v>
      </c>
      <c r="IX23" s="14">
        <v>115.94</v>
      </c>
      <c r="IY23" s="14">
        <v>115.98</v>
      </c>
      <c r="IZ23" s="14">
        <v>115.92</v>
      </c>
      <c r="JA23" s="14">
        <v>115.93</v>
      </c>
      <c r="JB23" s="14"/>
      <c r="JC23" s="14"/>
      <c r="JD23" s="14"/>
      <c r="JE23" s="14"/>
      <c r="JF23" s="14"/>
      <c r="JG23" s="14">
        <v>115.99</v>
      </c>
      <c r="JH23" s="14">
        <v>115.93</v>
      </c>
      <c r="JI23" s="14">
        <v>115.93</v>
      </c>
      <c r="JJ23" s="14">
        <v>115.95</v>
      </c>
      <c r="JK23" s="14">
        <v>115.92</v>
      </c>
      <c r="JL23" s="14"/>
      <c r="JM23" s="14"/>
      <c r="JN23" s="14"/>
      <c r="JO23" s="14"/>
      <c r="JP23" s="14"/>
      <c r="JQ23" s="14">
        <v>115.99</v>
      </c>
      <c r="JR23" s="14">
        <v>115.94</v>
      </c>
      <c r="JS23" s="14">
        <v>115.98</v>
      </c>
      <c r="JT23" s="14">
        <v>115.92</v>
      </c>
      <c r="JU23" s="14">
        <v>115.94</v>
      </c>
      <c r="JV23" s="14"/>
      <c r="JW23" s="14"/>
      <c r="JX23" s="14"/>
      <c r="JY23" s="14"/>
      <c r="JZ23" s="14"/>
      <c r="KA23" s="14">
        <v>115.99</v>
      </c>
      <c r="KB23" s="14">
        <v>115.94</v>
      </c>
      <c r="KC23" s="14">
        <v>115.96</v>
      </c>
      <c r="KD23" s="14">
        <v>115.91</v>
      </c>
      <c r="KE23" s="14">
        <v>115.93</v>
      </c>
      <c r="KF23" s="14"/>
      <c r="KG23" s="14"/>
      <c r="KH23" s="14"/>
      <c r="KI23" s="14"/>
      <c r="KJ23" s="14"/>
      <c r="KK23" s="14"/>
      <c r="KL23" s="14"/>
      <c r="KM23" s="14"/>
      <c r="KN23" s="14"/>
      <c r="KO23" s="14"/>
      <c r="KP23" s="14"/>
      <c r="KQ23" s="14"/>
      <c r="KR23" s="14"/>
      <c r="KS23" s="14"/>
      <c r="KT23" s="14"/>
      <c r="KU23" s="14"/>
      <c r="KV23" s="14"/>
      <c r="KW23" s="14"/>
      <c r="KX23" s="14"/>
      <c r="KY23" s="14"/>
      <c r="KZ23" s="14"/>
      <c r="LA23" s="14"/>
      <c r="LB23" s="14"/>
      <c r="LC23" s="14"/>
      <c r="LD23" s="14"/>
      <c r="LE23" s="14"/>
      <c r="LF23" s="14"/>
      <c r="LG23" s="14"/>
      <c r="LH23" s="14"/>
      <c r="LI23" s="14"/>
      <c r="LJ23" s="12">
        <f t="shared" si="2"/>
        <v>25</v>
      </c>
      <c r="LK23" s="6">
        <f t="shared" si="3"/>
        <v>85.025919999999999</v>
      </c>
      <c r="LL23" s="2">
        <f t="shared" si="4"/>
        <v>5.4766169606192492E-3</v>
      </c>
      <c r="LM23" s="7">
        <f t="shared" si="5"/>
        <v>0.91297237618656313</v>
      </c>
      <c r="LN23" s="7">
        <f t="shared" si="6"/>
        <v>0.85697673711417932</v>
      </c>
      <c r="LO23" s="7">
        <f t="shared" si="7"/>
        <v>0.96896801525894682</v>
      </c>
      <c r="LP23" s="7">
        <f t="shared" si="0"/>
        <v>0.85697673711417932</v>
      </c>
    </row>
    <row r="24" spans="1:328" ht="30" customHeight="1">
      <c r="A24" s="2" t="s">
        <v>41</v>
      </c>
      <c r="B24" s="2" t="s">
        <v>42</v>
      </c>
      <c r="C24" s="2" t="s">
        <v>44</v>
      </c>
      <c r="D24" s="2" t="s">
        <v>33</v>
      </c>
      <c r="E24" s="5">
        <v>61.957999999999998</v>
      </c>
      <c r="F24" s="5">
        <v>61.927999999999997</v>
      </c>
      <c r="G24" s="5">
        <f t="shared" si="1"/>
        <v>61.942999999999998</v>
      </c>
      <c r="H24" s="5">
        <v>61.954000000000001</v>
      </c>
      <c r="I24" s="5">
        <v>61.951999999999998</v>
      </c>
      <c r="J24" s="5">
        <v>61.95</v>
      </c>
      <c r="K24" s="5">
        <v>61.948</v>
      </c>
      <c r="L24" s="5">
        <v>61.948999999999998</v>
      </c>
      <c r="M24" s="5">
        <v>61.933999999999997</v>
      </c>
      <c r="N24" s="5">
        <v>61.93</v>
      </c>
      <c r="O24" s="5">
        <v>61.933</v>
      </c>
      <c r="P24" s="5">
        <v>61.933999999999997</v>
      </c>
      <c r="Q24" s="5">
        <v>61.945</v>
      </c>
      <c r="R24" s="5">
        <v>61.956000000000003</v>
      </c>
      <c r="S24" s="5">
        <v>61.951000000000001</v>
      </c>
      <c r="T24" s="5">
        <v>61.951999999999998</v>
      </c>
      <c r="U24" s="5">
        <v>61.954999999999998</v>
      </c>
      <c r="V24" s="5">
        <v>61.953000000000003</v>
      </c>
      <c r="W24" s="5"/>
      <c r="X24" s="5"/>
      <c r="Y24" s="5"/>
      <c r="Z24" s="5"/>
      <c r="AA24" s="5"/>
      <c r="AB24" s="5">
        <v>61.954000000000001</v>
      </c>
      <c r="AC24" s="5">
        <v>61.948</v>
      </c>
      <c r="AD24" s="5">
        <v>61.951999999999998</v>
      </c>
      <c r="AE24" s="5">
        <v>61.95</v>
      </c>
      <c r="AF24" s="5">
        <v>61.954999999999998</v>
      </c>
      <c r="AG24" s="5"/>
      <c r="AH24" s="5"/>
      <c r="AI24" s="5"/>
      <c r="AJ24" s="5"/>
      <c r="AK24" s="5"/>
      <c r="AL24" s="5">
        <v>61.95</v>
      </c>
      <c r="AM24" s="5">
        <v>61.948</v>
      </c>
      <c r="AN24" s="5">
        <v>61.948999999999998</v>
      </c>
      <c r="AO24" s="5">
        <v>61.951000000000001</v>
      </c>
      <c r="AP24" s="5">
        <v>61.95</v>
      </c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>
        <v>61.935000000000002</v>
      </c>
      <c r="BB24" s="5">
        <v>61.951000000000001</v>
      </c>
      <c r="BC24" s="5">
        <v>61.948</v>
      </c>
      <c r="BD24" s="5">
        <v>61.95</v>
      </c>
      <c r="BE24" s="5">
        <v>61.945999999999998</v>
      </c>
      <c r="BF24" s="5"/>
      <c r="BG24" s="5"/>
      <c r="BH24" s="5"/>
      <c r="BI24" s="5"/>
      <c r="BJ24" s="5"/>
      <c r="BK24" s="5">
        <v>61.951000000000001</v>
      </c>
      <c r="BL24" s="5">
        <v>61.948</v>
      </c>
      <c r="BM24" s="5">
        <v>61.954000000000001</v>
      </c>
      <c r="BN24" s="5">
        <v>61.951999999999998</v>
      </c>
      <c r="BO24" s="5">
        <v>61.953000000000003</v>
      </c>
      <c r="BP24" s="5"/>
      <c r="BQ24" s="5"/>
      <c r="BR24" s="5"/>
      <c r="BS24" s="5"/>
      <c r="BT24" s="5"/>
      <c r="BU24" s="5">
        <v>61.945</v>
      </c>
      <c r="BV24" s="5">
        <v>61.948</v>
      </c>
      <c r="BW24" s="5">
        <v>61.945999999999998</v>
      </c>
      <c r="BX24" s="5">
        <v>61.942</v>
      </c>
      <c r="BY24" s="5">
        <v>61.944400000000002</v>
      </c>
      <c r="BZ24" s="5"/>
      <c r="CA24" s="5"/>
      <c r="CB24" s="5"/>
      <c r="CC24" s="5"/>
      <c r="CD24" s="5"/>
      <c r="CE24" s="5">
        <v>61.956000000000003</v>
      </c>
      <c r="CF24" s="5">
        <v>61.951999999999998</v>
      </c>
      <c r="CG24" s="5">
        <v>61.945</v>
      </c>
      <c r="CH24" s="5">
        <v>61.948</v>
      </c>
      <c r="CI24" s="5">
        <v>61.948999999999998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>
        <v>61.945999999999998</v>
      </c>
      <c r="DE24" s="5">
        <v>61.944000000000003</v>
      </c>
      <c r="DF24" s="5">
        <v>61.951000000000001</v>
      </c>
      <c r="DG24" s="5">
        <v>61.951999999999998</v>
      </c>
      <c r="DH24" s="5">
        <v>61.948</v>
      </c>
      <c r="DI24" s="5">
        <v>61.948999999999998</v>
      </c>
      <c r="DJ24" s="5">
        <v>61.942999999999998</v>
      </c>
      <c r="DK24" s="5">
        <v>61.944000000000003</v>
      </c>
      <c r="DL24" s="5">
        <v>61.944000000000003</v>
      </c>
      <c r="DM24" s="5">
        <v>61.942999999999998</v>
      </c>
      <c r="DN24" s="5">
        <v>61.942</v>
      </c>
      <c r="DO24" s="5">
        <v>61.948</v>
      </c>
      <c r="DP24" s="5">
        <v>61.945999999999998</v>
      </c>
      <c r="DQ24" s="5">
        <v>61.951999999999998</v>
      </c>
      <c r="DR24" s="5">
        <v>61.951000000000001</v>
      </c>
      <c r="DS24" s="5">
        <v>61.945999999999998</v>
      </c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>
        <v>61.944000000000003</v>
      </c>
      <c r="HI24" s="5">
        <v>61.947000000000003</v>
      </c>
      <c r="HJ24" s="5">
        <v>61.95</v>
      </c>
      <c r="HK24" s="5">
        <v>61.951000000000001</v>
      </c>
      <c r="HL24" s="5">
        <v>61.951000000000001</v>
      </c>
      <c r="HM24" s="13">
        <v>61.948</v>
      </c>
      <c r="HN24" s="14">
        <v>61.944000000000003</v>
      </c>
      <c r="HO24" s="14">
        <v>61.95</v>
      </c>
      <c r="HP24" s="14">
        <v>61.954999999999998</v>
      </c>
      <c r="HQ24" s="14"/>
      <c r="HR24" s="14"/>
      <c r="HS24" s="14"/>
      <c r="HT24" s="14"/>
      <c r="HU24" s="14"/>
      <c r="HV24" s="14"/>
      <c r="HW24" s="14"/>
      <c r="HX24" s="11"/>
      <c r="HY24" s="11"/>
      <c r="HZ24" s="11"/>
      <c r="IA24" s="11"/>
      <c r="IB24" s="11"/>
      <c r="IC24" s="11"/>
      <c r="ID24" s="11"/>
      <c r="IE24" s="11"/>
      <c r="IF24" s="11"/>
      <c r="IG24" s="11"/>
      <c r="IH24" s="14">
        <v>61.939</v>
      </c>
      <c r="II24" s="14">
        <v>61.951999999999998</v>
      </c>
      <c r="IJ24" s="14">
        <v>61.948999999999998</v>
      </c>
      <c r="IK24" s="14">
        <v>61.948</v>
      </c>
      <c r="IL24" s="14">
        <v>61.95</v>
      </c>
      <c r="IM24" s="14">
        <v>61.939</v>
      </c>
      <c r="IN24" s="14">
        <v>61.951999999999998</v>
      </c>
      <c r="IO24" s="14">
        <v>61.948999999999998</v>
      </c>
      <c r="IP24" s="14">
        <v>61.948</v>
      </c>
      <c r="IQ24" s="14">
        <v>61.95</v>
      </c>
      <c r="IR24" s="14"/>
      <c r="IS24" s="14"/>
      <c r="IT24" s="14"/>
      <c r="IU24" s="14"/>
      <c r="IV24" s="14"/>
      <c r="IW24" s="14">
        <v>61.954000000000001</v>
      </c>
      <c r="IX24" s="14">
        <v>61.95</v>
      </c>
      <c r="IY24" s="14">
        <v>61.948</v>
      </c>
      <c r="IZ24" s="14">
        <v>61.945999999999998</v>
      </c>
      <c r="JA24" s="14">
        <v>61.951999999999998</v>
      </c>
      <c r="JB24" s="14"/>
      <c r="JC24" s="14"/>
      <c r="JD24" s="14"/>
      <c r="JE24" s="14"/>
      <c r="JF24" s="14"/>
      <c r="JG24" s="14">
        <v>61.95</v>
      </c>
      <c r="JH24" s="14">
        <v>61.951999999999998</v>
      </c>
      <c r="JI24" s="14">
        <v>61.948999999999998</v>
      </c>
      <c r="JJ24" s="14">
        <v>61.951000000000001</v>
      </c>
      <c r="JK24" s="14">
        <v>61.951999999999998</v>
      </c>
      <c r="JL24" s="14"/>
      <c r="JM24" s="14"/>
      <c r="JN24" s="14"/>
      <c r="JO24" s="14"/>
      <c r="JP24" s="14"/>
      <c r="JQ24" s="14">
        <v>61.944000000000003</v>
      </c>
      <c r="JR24" s="14">
        <v>61.948</v>
      </c>
      <c r="JS24" s="14">
        <v>61.947000000000003</v>
      </c>
      <c r="JT24" s="14">
        <v>61.945</v>
      </c>
      <c r="JU24" s="14">
        <v>61.951000000000001</v>
      </c>
      <c r="JV24" s="14"/>
      <c r="JW24" s="14"/>
      <c r="JX24" s="14"/>
      <c r="JY24" s="14"/>
      <c r="JZ24" s="14"/>
      <c r="KA24" s="14">
        <v>60.951000000000001</v>
      </c>
      <c r="KB24" s="14">
        <v>61.948999999999998</v>
      </c>
      <c r="KC24" s="14">
        <v>61.948</v>
      </c>
      <c r="KD24" s="14">
        <v>61.945999999999998</v>
      </c>
      <c r="KE24" s="14">
        <v>61.951999999999998</v>
      </c>
      <c r="KF24" s="14"/>
      <c r="KG24" s="14"/>
      <c r="KH24" s="14"/>
      <c r="KI24" s="14"/>
      <c r="KJ24" s="14"/>
      <c r="KK24" s="14"/>
      <c r="KL24" s="14"/>
      <c r="KM24" s="14"/>
      <c r="KN24" s="14"/>
      <c r="KO24" s="14"/>
      <c r="KP24" s="14"/>
      <c r="KQ24" s="14"/>
      <c r="KR24" s="14"/>
      <c r="KS24" s="14"/>
      <c r="KT24" s="14"/>
      <c r="KU24" s="14"/>
      <c r="KV24" s="14"/>
      <c r="KW24" s="14"/>
      <c r="KX24" s="14"/>
      <c r="KY24" s="14"/>
      <c r="KZ24" s="14"/>
      <c r="LA24" s="14"/>
      <c r="LB24" s="14"/>
      <c r="LC24" s="14"/>
      <c r="LD24" s="14"/>
      <c r="LE24" s="14"/>
      <c r="LF24" s="14"/>
      <c r="LG24" s="14"/>
      <c r="LH24" s="14"/>
      <c r="LI24" s="14"/>
      <c r="LJ24" s="12">
        <f t="shared" si="2"/>
        <v>35</v>
      </c>
      <c r="LK24" s="6">
        <f t="shared" si="3"/>
        <v>16.051371428571429</v>
      </c>
      <c r="LL24" s="2">
        <f t="shared" si="4"/>
        <v>5.7410844289356867E-2</v>
      </c>
      <c r="LM24" s="7">
        <f t="shared" si="5"/>
        <v>7.2576300144038486E-2</v>
      </c>
      <c r="LN24" s="7">
        <f t="shared" si="6"/>
        <v>-7.9626569300842911E-3</v>
      </c>
      <c r="LO24" s="7">
        <f t="shared" si="7"/>
        <v>0.15311525721816127</v>
      </c>
      <c r="LP24" s="7">
        <f t="shared" si="0"/>
        <v>-7.9626569300842911E-3</v>
      </c>
    </row>
    <row r="25" spans="1:328" ht="30" customHeight="1">
      <c r="A25" s="2" t="s">
        <v>41</v>
      </c>
      <c r="B25" s="2" t="s">
        <v>42</v>
      </c>
      <c r="C25" s="2" t="s">
        <v>44</v>
      </c>
      <c r="D25" s="2" t="s">
        <v>34</v>
      </c>
      <c r="E25" s="5">
        <v>85.04</v>
      </c>
      <c r="F25" s="5">
        <v>85.01</v>
      </c>
      <c r="G25" s="5">
        <f t="shared" si="1"/>
        <v>85.025000000000006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>
        <v>85.027000000000001</v>
      </c>
      <c r="AC25" s="5">
        <v>85.028000000000006</v>
      </c>
      <c r="AD25" s="5">
        <v>85.031999999999996</v>
      </c>
      <c r="AE25" s="5">
        <v>85.034000000000006</v>
      </c>
      <c r="AF25" s="5">
        <v>85.022000000000006</v>
      </c>
      <c r="AG25" s="5"/>
      <c r="AH25" s="5"/>
      <c r="AI25" s="5"/>
      <c r="AJ25" s="5"/>
      <c r="AK25" s="5"/>
      <c r="AL25" s="5">
        <v>85.022999999999996</v>
      </c>
      <c r="AM25" s="5">
        <v>85.012</v>
      </c>
      <c r="AN25" s="5">
        <v>85.025000000000006</v>
      </c>
      <c r="AO25" s="5">
        <v>85.031000000000006</v>
      </c>
      <c r="AP25" s="5">
        <v>85.025999999999996</v>
      </c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>
        <v>85.022999999999996</v>
      </c>
      <c r="BB25" s="5">
        <v>85.028000000000006</v>
      </c>
      <c r="BC25" s="5">
        <v>85.031000000000006</v>
      </c>
      <c r="BD25" s="5">
        <v>85.025999999999996</v>
      </c>
      <c r="BE25" s="5">
        <v>85.036000000000001</v>
      </c>
      <c r="BF25" s="5"/>
      <c r="BG25" s="5"/>
      <c r="BH25" s="5"/>
      <c r="BI25" s="5"/>
      <c r="BJ25" s="5"/>
      <c r="BK25" s="5">
        <v>85.031000000000006</v>
      </c>
      <c r="BL25" s="5">
        <v>85.028999999999996</v>
      </c>
      <c r="BM25" s="5">
        <v>85.027000000000001</v>
      </c>
      <c r="BN25" s="5">
        <v>85.03</v>
      </c>
      <c r="BO25" s="5">
        <v>85.024000000000001</v>
      </c>
      <c r="BP25" s="5"/>
      <c r="BQ25" s="5"/>
      <c r="BR25" s="5"/>
      <c r="BS25" s="5"/>
      <c r="BT25" s="5"/>
      <c r="BU25" s="5">
        <v>85.016999999999996</v>
      </c>
      <c r="BV25" s="5">
        <v>85.021000000000001</v>
      </c>
      <c r="BW25" s="5">
        <v>85.024000000000001</v>
      </c>
      <c r="BX25" s="5">
        <v>85.019000000000005</v>
      </c>
      <c r="BY25" s="5">
        <v>85.022000000000006</v>
      </c>
      <c r="BZ25" s="5"/>
      <c r="CA25" s="5"/>
      <c r="CB25" s="5"/>
      <c r="CC25" s="5"/>
      <c r="CD25" s="5"/>
      <c r="CE25" s="5">
        <v>85.027000000000001</v>
      </c>
      <c r="CF25" s="5">
        <v>85.028999999999996</v>
      </c>
      <c r="CG25" s="5">
        <v>85.03</v>
      </c>
      <c r="CH25" s="5">
        <v>85.033000000000001</v>
      </c>
      <c r="CI25" s="5">
        <v>85.022000000000006</v>
      </c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>
        <v>85.031000000000006</v>
      </c>
      <c r="DE25" s="5">
        <v>85.028999999999996</v>
      </c>
      <c r="DF25" s="5">
        <v>85.025000000000006</v>
      </c>
      <c r="DG25" s="5">
        <v>85.024000000000001</v>
      </c>
      <c r="DH25" s="5">
        <v>85.027000000000001</v>
      </c>
      <c r="DI25" s="5">
        <v>85.02</v>
      </c>
      <c r="DJ25" s="5">
        <v>85.019000000000005</v>
      </c>
      <c r="DK25" s="5">
        <v>85.022000000000006</v>
      </c>
      <c r="DL25" s="5">
        <v>85.021000000000001</v>
      </c>
      <c r="DM25" s="5">
        <v>85.019000000000005</v>
      </c>
      <c r="DN25" s="5">
        <v>85.021000000000001</v>
      </c>
      <c r="DO25" s="5">
        <v>85.022000000000006</v>
      </c>
      <c r="DP25" s="5">
        <v>85.027000000000001</v>
      </c>
      <c r="DQ25" s="5">
        <v>85.028999999999996</v>
      </c>
      <c r="DR25" s="5">
        <v>85.03</v>
      </c>
      <c r="DS25" s="5">
        <v>85.018000000000001</v>
      </c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>
        <v>85.019000000000005</v>
      </c>
      <c r="HI25" s="5">
        <v>85.021000000000001</v>
      </c>
      <c r="HJ25" s="5">
        <v>85.025999999999996</v>
      </c>
      <c r="HK25" s="5">
        <v>85.025999999999996</v>
      </c>
      <c r="HL25" s="5">
        <v>85.028999999999996</v>
      </c>
      <c r="HM25" s="13">
        <v>85.027000000000001</v>
      </c>
      <c r="HN25" s="14">
        <v>85.025999999999996</v>
      </c>
      <c r="HO25" s="14">
        <v>85.028000000000006</v>
      </c>
      <c r="HP25" s="14">
        <v>85.031000000000006</v>
      </c>
      <c r="HQ25" s="14"/>
      <c r="HR25" s="14"/>
      <c r="HS25" s="14"/>
      <c r="HT25" s="14"/>
      <c r="HU25" s="14"/>
      <c r="HV25" s="14"/>
      <c r="HW25" s="14"/>
      <c r="HX25" s="11"/>
      <c r="HY25" s="11"/>
      <c r="HZ25" s="11"/>
      <c r="IA25" s="11"/>
      <c r="IB25" s="11"/>
      <c r="IC25" s="11"/>
      <c r="ID25" s="11"/>
      <c r="IE25" s="11"/>
      <c r="IF25" s="11"/>
      <c r="IG25" s="11"/>
      <c r="IH25" s="14"/>
      <c r="II25" s="14"/>
      <c r="IJ25" s="14"/>
      <c r="IK25" s="14"/>
      <c r="IL25" s="14"/>
      <c r="IM25" s="14">
        <v>85.019000000000005</v>
      </c>
      <c r="IN25" s="14">
        <v>85.022999999999996</v>
      </c>
      <c r="IO25" s="14">
        <v>85.025999999999996</v>
      </c>
      <c r="IP25" s="14">
        <v>85.021000000000001</v>
      </c>
      <c r="IQ25" s="14">
        <v>85.022000000000006</v>
      </c>
      <c r="IR25" s="14"/>
      <c r="IS25" s="14"/>
      <c r="IT25" s="14"/>
      <c r="IU25" s="14"/>
      <c r="IV25" s="14"/>
      <c r="IW25" s="14">
        <v>85.028000000000006</v>
      </c>
      <c r="IX25" s="14">
        <v>85.031999999999996</v>
      </c>
      <c r="IY25" s="14">
        <v>85.022000000000006</v>
      </c>
      <c r="IZ25" s="14">
        <v>85.024000000000001</v>
      </c>
      <c r="JA25" s="14">
        <v>85.021000000000001</v>
      </c>
      <c r="JB25" s="14"/>
      <c r="JC25" s="14"/>
      <c r="JD25" s="14"/>
      <c r="JE25" s="14"/>
      <c r="JF25" s="14"/>
      <c r="JG25" s="14">
        <v>85.021000000000001</v>
      </c>
      <c r="JH25" s="14">
        <v>85.025999999999996</v>
      </c>
      <c r="JI25" s="14">
        <v>85.031999999999996</v>
      </c>
      <c r="JJ25" s="14">
        <v>85.028999999999996</v>
      </c>
      <c r="JK25" s="14">
        <v>85.028000000000006</v>
      </c>
      <c r="JL25" s="14"/>
      <c r="JM25" s="14"/>
      <c r="JN25" s="14"/>
      <c r="JO25" s="14"/>
      <c r="JP25" s="14"/>
      <c r="JQ25" s="14">
        <v>85.034000000000006</v>
      </c>
      <c r="JR25" s="14">
        <v>85.028999999999996</v>
      </c>
      <c r="JS25" s="14">
        <v>85.025999999999996</v>
      </c>
      <c r="JT25" s="14">
        <v>85.028000000000006</v>
      </c>
      <c r="JU25" s="14">
        <v>85.025000000000006</v>
      </c>
      <c r="JV25" s="14"/>
      <c r="JW25" s="14"/>
      <c r="JX25" s="14"/>
      <c r="JY25" s="14"/>
      <c r="JZ25" s="14"/>
      <c r="KA25" s="14">
        <v>85.027000000000001</v>
      </c>
      <c r="KB25" s="14">
        <v>85.025999999999996</v>
      </c>
      <c r="KC25" s="14">
        <v>85.031999999999996</v>
      </c>
      <c r="KD25" s="14">
        <v>85.033000000000001</v>
      </c>
      <c r="KE25" s="14">
        <v>85.028999999999996</v>
      </c>
      <c r="KF25" s="14"/>
      <c r="KG25" s="14"/>
      <c r="KH25" s="14"/>
      <c r="KI25" s="14"/>
      <c r="KJ25" s="14"/>
      <c r="KK25" s="14"/>
      <c r="KL25" s="14"/>
      <c r="KM25" s="14"/>
      <c r="KN25" s="14"/>
      <c r="KO25" s="14"/>
      <c r="KP25" s="14"/>
      <c r="KQ25" s="14"/>
      <c r="KR25" s="14"/>
      <c r="KS25" s="14"/>
      <c r="KT25" s="14"/>
      <c r="KU25" s="14"/>
      <c r="KV25" s="14"/>
      <c r="KW25" s="14"/>
      <c r="KX25" s="14"/>
      <c r="KY25" s="14"/>
      <c r="KZ25" s="14"/>
      <c r="LA25" s="14"/>
      <c r="LB25" s="14"/>
      <c r="LC25" s="14"/>
      <c r="LD25" s="14"/>
      <c r="LE25" s="14"/>
      <c r="LF25" s="14"/>
      <c r="LG25" s="14"/>
      <c r="LH25" s="14"/>
      <c r="LI25" s="14"/>
      <c r="LJ25" s="12">
        <f t="shared" si="2"/>
        <v>25</v>
      </c>
      <c r="LK25" s="6">
        <f t="shared" si="3"/>
        <v>52.008439999999993</v>
      </c>
      <c r="LL25" s="2">
        <f t="shared" si="4"/>
        <v>4.1641325627317059E-3</v>
      </c>
      <c r="LM25" s="7">
        <f t="shared" si="5"/>
        <v>1.2007302660701433</v>
      </c>
      <c r="LN25" s="7">
        <f t="shared" si="6"/>
        <v>0.92536279171882319</v>
      </c>
      <c r="LO25" s="7">
        <f t="shared" si="7"/>
        <v>1.4760977404214637</v>
      </c>
      <c r="LP25" s="7">
        <f t="shared" si="0"/>
        <v>0.92536279171882319</v>
      </c>
    </row>
    <row r="26" spans="1:328" ht="30" customHeight="1">
      <c r="A26" s="2" t="s">
        <v>41</v>
      </c>
      <c r="B26" s="2" t="s">
        <v>42</v>
      </c>
      <c r="C26" s="2" t="s">
        <v>44</v>
      </c>
      <c r="D26" s="2" t="s">
        <v>35</v>
      </c>
      <c r="E26" s="5">
        <v>16.05</v>
      </c>
      <c r="F26" s="5">
        <v>16.024999999999999</v>
      </c>
      <c r="G26" s="5">
        <f t="shared" si="1"/>
        <v>16.037500000000001</v>
      </c>
      <c r="H26" s="5">
        <v>16.38</v>
      </c>
      <c r="I26" s="5">
        <v>16.042000000000002</v>
      </c>
      <c r="J26" s="5">
        <v>16.044</v>
      </c>
      <c r="K26" s="5">
        <v>16.041</v>
      </c>
      <c r="L26" s="5">
        <v>16.039000000000001</v>
      </c>
      <c r="M26" s="5"/>
      <c r="N26" s="5"/>
      <c r="O26" s="5"/>
      <c r="P26" s="5"/>
      <c r="Q26" s="5"/>
      <c r="R26" s="5">
        <v>16.04</v>
      </c>
      <c r="S26" s="5">
        <v>16.047999999999998</v>
      </c>
      <c r="T26" s="5">
        <v>16.044</v>
      </c>
      <c r="U26" s="5">
        <v>16.042000000000002</v>
      </c>
      <c r="V26" s="5">
        <v>16.041</v>
      </c>
      <c r="W26" s="5"/>
      <c r="X26" s="5"/>
      <c r="Y26" s="5"/>
      <c r="Z26" s="5"/>
      <c r="AA26" s="5"/>
      <c r="AB26" s="5">
        <v>16.047999999999998</v>
      </c>
      <c r="AC26" s="5">
        <v>16.048999999999999</v>
      </c>
      <c r="AD26" s="5">
        <v>16.050999999999998</v>
      </c>
      <c r="AE26" s="5">
        <v>16.047000000000001</v>
      </c>
      <c r="AF26" s="5">
        <v>16.045000000000002</v>
      </c>
      <c r="AG26" s="5"/>
      <c r="AH26" s="5"/>
      <c r="AI26" s="5"/>
      <c r="AJ26" s="5"/>
      <c r="AK26" s="5"/>
      <c r="AL26" s="5">
        <v>16.047000000000001</v>
      </c>
      <c r="AM26" s="5">
        <v>16.044</v>
      </c>
      <c r="AN26" s="5">
        <v>16.047000000000001</v>
      </c>
      <c r="AO26" s="5">
        <v>16.036999999999999</v>
      </c>
      <c r="AP26" s="5">
        <v>16.039000000000001</v>
      </c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>
        <v>16.027000000000001</v>
      </c>
      <c r="BB26" s="5">
        <v>16.036999999999999</v>
      </c>
      <c r="BC26" s="5">
        <v>16.041</v>
      </c>
      <c r="BD26" s="5">
        <v>16.042999999999999</v>
      </c>
      <c r="BE26" s="5">
        <v>16.036000000000001</v>
      </c>
      <c r="BF26" s="5"/>
      <c r="BG26" s="5"/>
      <c r="BH26" s="5"/>
      <c r="BI26" s="5"/>
      <c r="BJ26" s="5"/>
      <c r="BK26" s="5">
        <v>16.044</v>
      </c>
      <c r="BL26" s="5">
        <v>16.042000000000002</v>
      </c>
      <c r="BM26" s="5">
        <v>16.038</v>
      </c>
      <c r="BN26" s="5">
        <v>16.045000000000002</v>
      </c>
      <c r="BO26" s="5">
        <v>16.047000000000001</v>
      </c>
      <c r="BP26" s="5"/>
      <c r="BQ26" s="5"/>
      <c r="BR26" s="5"/>
      <c r="BS26" s="5"/>
      <c r="BT26" s="5"/>
      <c r="BU26" s="5">
        <v>16.030999999999999</v>
      </c>
      <c r="BV26" s="5">
        <v>16.035</v>
      </c>
      <c r="BW26" s="5">
        <v>16.039000000000001</v>
      </c>
      <c r="BX26" s="5">
        <v>16.041</v>
      </c>
      <c r="BY26" s="5">
        <v>16.036999999999999</v>
      </c>
      <c r="BZ26" s="5"/>
      <c r="CA26" s="5"/>
      <c r="CB26" s="5"/>
      <c r="CC26" s="5"/>
      <c r="CD26" s="5"/>
      <c r="CE26" s="5">
        <v>16.041</v>
      </c>
      <c r="CF26" s="5">
        <v>16.048999999999999</v>
      </c>
      <c r="CG26" s="5">
        <v>16.052</v>
      </c>
      <c r="CH26" s="5">
        <v>16.045000000000002</v>
      </c>
      <c r="CI26" s="5">
        <v>16.039000000000001</v>
      </c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>
        <v>16.047999999999998</v>
      </c>
      <c r="DE26" s="5">
        <v>16.044</v>
      </c>
      <c r="DF26" s="5">
        <v>16.041</v>
      </c>
      <c r="DG26" s="5">
        <v>16.04</v>
      </c>
      <c r="DH26" s="5">
        <v>16.038</v>
      </c>
      <c r="DI26" s="5">
        <v>16.036000000000001</v>
      </c>
      <c r="DJ26" s="5">
        <v>16.039000000000001</v>
      </c>
      <c r="DK26" s="5">
        <v>16.042999999999999</v>
      </c>
      <c r="DL26" s="5">
        <v>16.045000000000002</v>
      </c>
      <c r="DM26" s="5">
        <v>16.042999999999999</v>
      </c>
      <c r="DN26" s="5">
        <v>16.039000000000001</v>
      </c>
      <c r="DO26" s="5">
        <v>16.042000000000002</v>
      </c>
      <c r="DP26" s="5">
        <v>16.04</v>
      </c>
      <c r="DQ26" s="5">
        <v>16.044</v>
      </c>
      <c r="DR26" s="5">
        <v>16.041</v>
      </c>
      <c r="DS26" s="5">
        <v>16.045000000000002</v>
      </c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>
        <v>16.03</v>
      </c>
      <c r="HI26" s="5">
        <v>16.04</v>
      </c>
      <c r="HJ26" s="5">
        <v>16.04</v>
      </c>
      <c r="HK26" s="5">
        <v>16.039000000000001</v>
      </c>
      <c r="HL26" s="5">
        <v>16.045999999999999</v>
      </c>
      <c r="HM26" s="13">
        <v>16.041</v>
      </c>
      <c r="HN26" s="14">
        <v>16.038</v>
      </c>
      <c r="HO26" s="14">
        <v>16.039000000000001</v>
      </c>
      <c r="HP26" s="14">
        <v>16.036999999999999</v>
      </c>
      <c r="HQ26" s="14"/>
      <c r="HR26" s="14"/>
      <c r="HS26" s="14"/>
      <c r="HT26" s="14"/>
      <c r="HU26" s="14"/>
      <c r="HV26" s="14"/>
      <c r="HW26" s="14"/>
      <c r="HX26" s="11"/>
      <c r="HY26" s="11"/>
      <c r="HZ26" s="11"/>
      <c r="IA26" s="11"/>
      <c r="IB26" s="11"/>
      <c r="IC26" s="11"/>
      <c r="ID26" s="11"/>
      <c r="IE26" s="11"/>
      <c r="IF26" s="11"/>
      <c r="IG26" s="11"/>
      <c r="IH26" s="14"/>
      <c r="II26" s="14"/>
      <c r="IJ26" s="14"/>
      <c r="IK26" s="14"/>
      <c r="IL26" s="14"/>
      <c r="IM26" s="14"/>
      <c r="IN26" s="14"/>
      <c r="IO26" s="14"/>
      <c r="IP26" s="14"/>
      <c r="IQ26" s="14"/>
      <c r="IR26" s="14"/>
      <c r="IS26" s="14"/>
      <c r="IT26" s="14"/>
      <c r="IU26" s="14"/>
      <c r="IV26" s="14"/>
      <c r="IW26" s="14">
        <v>16.041</v>
      </c>
      <c r="IX26" s="14">
        <v>16.042000000000002</v>
      </c>
      <c r="IY26" s="14">
        <v>16.038</v>
      </c>
      <c r="IZ26" s="14">
        <v>16.044</v>
      </c>
      <c r="JA26" s="14">
        <v>16.042000000000002</v>
      </c>
      <c r="JB26" s="14"/>
      <c r="JC26" s="14"/>
      <c r="JD26" s="14"/>
      <c r="JE26" s="14"/>
      <c r="JF26" s="14"/>
      <c r="JG26" s="14">
        <v>16.042000000000002</v>
      </c>
      <c r="JH26" s="14">
        <v>16.036000000000001</v>
      </c>
      <c r="JI26" s="14">
        <v>16.041</v>
      </c>
      <c r="JJ26" s="14">
        <v>16.044</v>
      </c>
      <c r="JK26" s="14">
        <v>16.047999999999998</v>
      </c>
      <c r="JL26" s="14"/>
      <c r="JM26" s="14"/>
      <c r="JN26" s="14"/>
      <c r="JO26" s="14"/>
      <c r="JP26" s="14"/>
      <c r="JQ26" s="14">
        <v>16.042000000000002</v>
      </c>
      <c r="JR26" s="14">
        <v>16.036999999999999</v>
      </c>
      <c r="JS26" s="14">
        <v>16.045000000000002</v>
      </c>
      <c r="JT26" s="14">
        <v>16.042000000000002</v>
      </c>
      <c r="JU26" s="14">
        <v>16.041</v>
      </c>
      <c r="JV26" s="14"/>
      <c r="JW26" s="14"/>
      <c r="JX26" s="14"/>
      <c r="JY26" s="14"/>
      <c r="JZ26" s="14"/>
      <c r="KA26" s="14">
        <v>16.042000000000002</v>
      </c>
      <c r="KB26" s="14">
        <v>16.044</v>
      </c>
      <c r="KC26" s="14">
        <v>16.039000000000001</v>
      </c>
      <c r="KD26" s="14">
        <v>16.041</v>
      </c>
      <c r="KE26" s="14">
        <v>16.038</v>
      </c>
      <c r="KF26" s="14"/>
      <c r="KG26" s="14"/>
      <c r="KH26" s="14"/>
      <c r="KI26" s="14"/>
      <c r="KJ26" s="14"/>
      <c r="KK26" s="14"/>
      <c r="KL26" s="14"/>
      <c r="KM26" s="14"/>
      <c r="KN26" s="14"/>
      <c r="KO26" s="14"/>
      <c r="KP26" s="14"/>
      <c r="KQ26" s="14"/>
      <c r="KR26" s="14"/>
      <c r="KS26" s="14"/>
      <c r="KT26" s="14"/>
      <c r="KU26" s="14"/>
      <c r="KV26" s="14"/>
      <c r="KW26" s="14"/>
      <c r="KX26" s="14"/>
      <c r="KY26" s="14"/>
      <c r="KZ26" s="14"/>
      <c r="LA26" s="14"/>
      <c r="LB26" s="14"/>
      <c r="LC26" s="14"/>
      <c r="LD26" s="14"/>
      <c r="LE26" s="14"/>
      <c r="LF26" s="14"/>
      <c r="LG26" s="14"/>
      <c r="LH26" s="14"/>
      <c r="LI26" s="14"/>
      <c r="LJ26" s="12">
        <f t="shared" si="2"/>
        <v>40</v>
      </c>
      <c r="LK26" s="6">
        <f t="shared" si="3"/>
        <v>14.015450000000001</v>
      </c>
      <c r="LL26" s="2">
        <f t="shared" si="4"/>
        <v>6.7328128765597175E-3</v>
      </c>
      <c r="LM26" s="7">
        <f t="shared" si="5"/>
        <v>1.2377194325934187</v>
      </c>
      <c r="LN26" s="7">
        <f t="shared" si="6"/>
        <v>0.72035270976928911</v>
      </c>
      <c r="LO26" s="7">
        <f t="shared" si="7"/>
        <v>1.7550861554175481</v>
      </c>
      <c r="LP26" s="7">
        <f t="shared" si="0"/>
        <v>0.72035270976928911</v>
      </c>
    </row>
    <row r="27" spans="1:328" ht="30" customHeight="1">
      <c r="A27" s="2" t="s">
        <v>41</v>
      </c>
      <c r="B27" s="2" t="s">
        <v>42</v>
      </c>
      <c r="C27" s="2" t="s">
        <v>44</v>
      </c>
      <c r="D27" s="2" t="s">
        <v>36</v>
      </c>
      <c r="E27" s="5">
        <v>52.02</v>
      </c>
      <c r="F27" s="5">
        <v>51.99</v>
      </c>
      <c r="G27" s="5">
        <f t="shared" si="1"/>
        <v>52.005000000000003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>
        <v>52.01</v>
      </c>
      <c r="AC27" s="5">
        <v>52.009</v>
      </c>
      <c r="AD27" s="5">
        <v>52.006</v>
      </c>
      <c r="AE27" s="5">
        <v>52.003999999999998</v>
      </c>
      <c r="AF27" s="5">
        <v>52.005000000000003</v>
      </c>
      <c r="AG27" s="5"/>
      <c r="AH27" s="5"/>
      <c r="AI27" s="5"/>
      <c r="AJ27" s="5"/>
      <c r="AK27" s="5"/>
      <c r="AL27" s="5">
        <v>52.006</v>
      </c>
      <c r="AM27" s="5">
        <v>52.01</v>
      </c>
      <c r="AN27" s="5">
        <v>52.015999999999998</v>
      </c>
      <c r="AO27" s="5">
        <v>52.005000000000003</v>
      </c>
      <c r="AP27" s="5">
        <v>52.017000000000003</v>
      </c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>
        <v>52.011000000000003</v>
      </c>
      <c r="BB27" s="5">
        <v>52.009</v>
      </c>
      <c r="BC27" s="5">
        <v>52.011000000000003</v>
      </c>
      <c r="BD27" s="5">
        <v>52.006</v>
      </c>
      <c r="BE27" s="5">
        <v>52.015000000000001</v>
      </c>
      <c r="BF27" s="5"/>
      <c r="BG27" s="5"/>
      <c r="BH27" s="5"/>
      <c r="BI27" s="5"/>
      <c r="BJ27" s="5"/>
      <c r="BK27" s="5">
        <v>52.01</v>
      </c>
      <c r="BL27" s="5">
        <v>52.008000000000003</v>
      </c>
      <c r="BM27" s="5">
        <v>52.012</v>
      </c>
      <c r="BN27" s="5">
        <v>52.014000000000003</v>
      </c>
      <c r="BO27" s="5">
        <v>52.003999999999998</v>
      </c>
      <c r="BP27" s="5"/>
      <c r="BQ27" s="5"/>
      <c r="BR27" s="5"/>
      <c r="BS27" s="5"/>
      <c r="BT27" s="5"/>
      <c r="BU27" s="5">
        <v>52.006</v>
      </c>
      <c r="BV27" s="5">
        <v>52.008000000000003</v>
      </c>
      <c r="BW27" s="5">
        <v>52.003</v>
      </c>
      <c r="BX27" s="5">
        <v>52.003999999999998</v>
      </c>
      <c r="BY27" s="5">
        <v>52.002000000000002</v>
      </c>
      <c r="BZ27" s="5"/>
      <c r="CA27" s="5"/>
      <c r="CB27" s="5"/>
      <c r="CC27" s="5"/>
      <c r="CD27" s="5"/>
      <c r="CE27" s="5">
        <v>52.01</v>
      </c>
      <c r="CF27" s="5">
        <v>52.012</v>
      </c>
      <c r="CG27" s="5">
        <v>52.014000000000003</v>
      </c>
      <c r="CH27" s="5">
        <v>52.011000000000003</v>
      </c>
      <c r="CI27" s="5">
        <v>52.009</v>
      </c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>
        <v>52.008000000000003</v>
      </c>
      <c r="DE27" s="5">
        <v>52.009</v>
      </c>
      <c r="DF27" s="5">
        <v>52.003999999999998</v>
      </c>
      <c r="DG27" s="5">
        <v>52.009</v>
      </c>
      <c r="DH27" s="5">
        <v>52.006</v>
      </c>
      <c r="DI27" s="5">
        <v>52.006999999999998</v>
      </c>
      <c r="DJ27" s="5">
        <v>52.008000000000003</v>
      </c>
      <c r="DK27" s="5">
        <v>52.008000000000003</v>
      </c>
      <c r="DL27" s="5">
        <v>52.006999999999998</v>
      </c>
      <c r="DM27" s="5">
        <v>52.008000000000003</v>
      </c>
      <c r="DN27" s="5">
        <v>52.008000000000003</v>
      </c>
      <c r="DO27" s="5">
        <v>52.006</v>
      </c>
      <c r="DP27" s="5">
        <v>52.008000000000003</v>
      </c>
      <c r="DQ27" s="5">
        <v>52.003999999999998</v>
      </c>
      <c r="DR27" s="5">
        <v>52.01</v>
      </c>
      <c r="DS27" s="5">
        <v>52.008000000000003</v>
      </c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>
        <v>52.008000000000003</v>
      </c>
      <c r="HI27" s="5">
        <v>52.005000000000003</v>
      </c>
      <c r="HJ27" s="5">
        <v>52.005000000000003</v>
      </c>
      <c r="HK27" s="5">
        <v>52.006</v>
      </c>
      <c r="HL27" s="5">
        <v>52.015000000000001</v>
      </c>
      <c r="HM27" s="13">
        <v>52.011000000000003</v>
      </c>
      <c r="HN27" s="14">
        <v>52.01</v>
      </c>
      <c r="HO27" s="14">
        <v>52.012</v>
      </c>
      <c r="HP27" s="14">
        <v>52.014000000000003</v>
      </c>
      <c r="HQ27" s="14"/>
      <c r="HR27" s="14"/>
      <c r="HS27" s="14"/>
      <c r="HT27" s="14"/>
      <c r="HU27" s="14"/>
      <c r="HV27" s="14"/>
      <c r="HW27" s="14"/>
      <c r="HX27" s="11"/>
      <c r="HY27" s="11"/>
      <c r="HZ27" s="11"/>
      <c r="IA27" s="11"/>
      <c r="IB27" s="11"/>
      <c r="IC27" s="11"/>
      <c r="ID27" s="11"/>
      <c r="IE27" s="11"/>
      <c r="IF27" s="11"/>
      <c r="IG27" s="11"/>
      <c r="IH27" s="14"/>
      <c r="II27" s="14"/>
      <c r="IJ27" s="14"/>
      <c r="IK27" s="14"/>
      <c r="IL27" s="14"/>
      <c r="IM27" s="14">
        <v>52.008000000000003</v>
      </c>
      <c r="IN27" s="14">
        <v>52.009</v>
      </c>
      <c r="IO27" s="14">
        <v>52.006999999999998</v>
      </c>
      <c r="IP27" s="14">
        <v>52.01</v>
      </c>
      <c r="IQ27" s="14">
        <v>52.006999999999998</v>
      </c>
      <c r="IR27" s="14"/>
      <c r="IS27" s="14"/>
      <c r="IT27" s="14"/>
      <c r="IU27" s="14"/>
      <c r="IV27" s="14"/>
      <c r="IW27" s="14">
        <v>52.008000000000003</v>
      </c>
      <c r="IX27" s="14">
        <v>52.009</v>
      </c>
      <c r="IY27" s="14">
        <v>52.01</v>
      </c>
      <c r="IZ27" s="14">
        <v>52.011000000000003</v>
      </c>
      <c r="JA27" s="14">
        <v>52.014000000000003</v>
      </c>
      <c r="JB27" s="14"/>
      <c r="JC27" s="14"/>
      <c r="JD27" s="14"/>
      <c r="JE27" s="14"/>
      <c r="JF27" s="14"/>
      <c r="JG27" s="14">
        <v>52.006</v>
      </c>
      <c r="JH27" s="14">
        <v>52.003999999999998</v>
      </c>
      <c r="JI27" s="14">
        <v>52.003</v>
      </c>
      <c r="JJ27" s="14">
        <v>52.008000000000003</v>
      </c>
      <c r="JK27" s="14">
        <v>52.012</v>
      </c>
      <c r="JL27" s="14"/>
      <c r="JM27" s="14"/>
      <c r="JN27" s="14"/>
      <c r="JO27" s="14"/>
      <c r="JP27" s="14"/>
      <c r="JQ27" s="14">
        <v>52.006</v>
      </c>
      <c r="JR27" s="14">
        <v>52.008000000000003</v>
      </c>
      <c r="JS27" s="14">
        <v>52.009</v>
      </c>
      <c r="JT27" s="14">
        <v>52.012999999999998</v>
      </c>
      <c r="JU27" s="14">
        <v>52.01</v>
      </c>
      <c r="JV27" s="14"/>
      <c r="JW27" s="14"/>
      <c r="JX27" s="14"/>
      <c r="JY27" s="14"/>
      <c r="JZ27" s="14"/>
      <c r="KA27" s="14">
        <v>52.01</v>
      </c>
      <c r="KB27" s="14">
        <v>52.012</v>
      </c>
      <c r="KC27" s="14">
        <v>52.008000000000003</v>
      </c>
      <c r="KD27" s="14">
        <v>52.006999999999998</v>
      </c>
      <c r="KE27" s="14">
        <v>52.009</v>
      </c>
      <c r="KF27" s="14"/>
      <c r="KG27" s="14"/>
      <c r="KH27" s="14"/>
      <c r="KI27" s="14"/>
      <c r="KJ27" s="14"/>
      <c r="KK27" s="14"/>
      <c r="KL27" s="14"/>
      <c r="KM27" s="14"/>
      <c r="KN27" s="14"/>
      <c r="KO27" s="14"/>
      <c r="KP27" s="14"/>
      <c r="KQ27" s="14"/>
      <c r="KR27" s="14"/>
      <c r="KS27" s="14"/>
      <c r="KT27" s="14"/>
      <c r="KU27" s="14"/>
      <c r="KV27" s="14"/>
      <c r="KW27" s="14"/>
      <c r="KX27" s="14"/>
      <c r="KY27" s="14"/>
      <c r="KZ27" s="14"/>
      <c r="LA27" s="14"/>
      <c r="LB27" s="14"/>
      <c r="LC27" s="14"/>
      <c r="LD27" s="14"/>
      <c r="LE27" s="14"/>
      <c r="LF27" s="14"/>
      <c r="LG27" s="14"/>
      <c r="LH27" s="14"/>
      <c r="LI27" s="14"/>
      <c r="LJ27" s="12">
        <f t="shared" si="2"/>
        <v>40</v>
      </c>
      <c r="LK27" s="6">
        <f t="shared" si="3"/>
        <v>115.96414999999995</v>
      </c>
      <c r="LL27" s="2">
        <f t="shared" si="4"/>
        <v>1.4907492523335565E-2</v>
      </c>
      <c r="LM27" s="7">
        <f t="shared" si="5"/>
        <v>1.1180060389482951</v>
      </c>
      <c r="LN27" s="7">
        <f t="shared" si="6"/>
        <v>0.8016103299271633</v>
      </c>
      <c r="LO27" s="7">
        <f t="shared" si="7"/>
        <v>1.4344017479694267</v>
      </c>
      <c r="LP27" s="7">
        <f t="shared" si="0"/>
        <v>0.8016103299271633</v>
      </c>
    </row>
    <row r="28" spans="1:328" ht="30" customHeight="1">
      <c r="A28" s="2" t="s">
        <v>41</v>
      </c>
      <c r="B28" s="2" t="s">
        <v>42</v>
      </c>
      <c r="C28" s="2" t="s">
        <v>44</v>
      </c>
      <c r="D28" s="2" t="s">
        <v>38</v>
      </c>
      <c r="E28" s="5">
        <v>14.03</v>
      </c>
      <c r="F28" s="5">
        <v>13.98</v>
      </c>
      <c r="G28" s="5">
        <f t="shared" si="1"/>
        <v>14.004999999999999</v>
      </c>
      <c r="H28" s="5">
        <v>14.01</v>
      </c>
      <c r="I28" s="5">
        <v>14.016</v>
      </c>
      <c r="J28" s="5">
        <v>14.016999999999999</v>
      </c>
      <c r="K28" s="5">
        <v>14.013999999999999</v>
      </c>
      <c r="L28" s="5">
        <v>14.013</v>
      </c>
      <c r="M28" s="5">
        <v>14.02</v>
      </c>
      <c r="N28" s="5">
        <v>14.022</v>
      </c>
      <c r="O28" s="5">
        <v>14.022</v>
      </c>
      <c r="P28" s="5">
        <v>14.023999999999999</v>
      </c>
      <c r="Q28" s="5">
        <v>14.022</v>
      </c>
      <c r="R28" s="5">
        <v>14.015000000000001</v>
      </c>
      <c r="S28" s="5">
        <v>14.018000000000001</v>
      </c>
      <c r="T28" s="5">
        <v>14.02</v>
      </c>
      <c r="U28" s="5">
        <v>14.021000000000001</v>
      </c>
      <c r="V28" s="5">
        <v>14.015000000000001</v>
      </c>
      <c r="W28" s="5"/>
      <c r="X28" s="5"/>
      <c r="Y28" s="5"/>
      <c r="Z28" s="5"/>
      <c r="AA28" s="5"/>
      <c r="AB28" s="5">
        <v>14.013999999999999</v>
      </c>
      <c r="AC28" s="5">
        <v>14.016</v>
      </c>
      <c r="AD28" s="5">
        <v>14.012</v>
      </c>
      <c r="AE28" s="5">
        <v>14.016999999999999</v>
      </c>
      <c r="AF28" s="5">
        <v>14.019</v>
      </c>
      <c r="AG28" s="5"/>
      <c r="AH28" s="5"/>
      <c r="AI28" s="5"/>
      <c r="AJ28" s="5"/>
      <c r="AK28" s="5"/>
      <c r="AL28" s="5">
        <v>14.019</v>
      </c>
      <c r="AM28" s="5">
        <v>14.013999999999999</v>
      </c>
      <c r="AN28" s="5">
        <v>14.016999999999999</v>
      </c>
      <c r="AO28" s="5">
        <v>14.009</v>
      </c>
      <c r="AP28" s="5">
        <v>14.019</v>
      </c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>
        <v>14.010999999999999</v>
      </c>
      <c r="BB28" s="5">
        <v>13.986000000000001</v>
      </c>
      <c r="BC28" s="5">
        <v>14.02</v>
      </c>
      <c r="BD28" s="5">
        <v>14.006</v>
      </c>
      <c r="BE28" s="5">
        <v>14.002000000000001</v>
      </c>
      <c r="BF28" s="5"/>
      <c r="BG28" s="5"/>
      <c r="BH28" s="5"/>
      <c r="BI28" s="5"/>
      <c r="BJ28" s="5"/>
      <c r="BK28" s="5">
        <v>14.013999999999999</v>
      </c>
      <c r="BL28" s="5">
        <v>14.012</v>
      </c>
      <c r="BM28" s="5">
        <v>14.01</v>
      </c>
      <c r="BN28" s="5">
        <v>14.015000000000001</v>
      </c>
      <c r="BO28" s="5">
        <v>14.018000000000001</v>
      </c>
      <c r="BP28" s="5"/>
      <c r="BQ28" s="5"/>
      <c r="BR28" s="5"/>
      <c r="BS28" s="5"/>
      <c r="BT28" s="5"/>
      <c r="BU28" s="5">
        <v>14.021000000000001</v>
      </c>
      <c r="BV28" s="5">
        <v>14.019</v>
      </c>
      <c r="BW28" s="5">
        <v>14.016</v>
      </c>
      <c r="BX28" s="5">
        <v>14.022</v>
      </c>
      <c r="BY28" s="5">
        <v>14.021000000000001</v>
      </c>
      <c r="BZ28" s="5"/>
      <c r="CA28" s="5"/>
      <c r="CB28" s="5"/>
      <c r="CC28" s="5"/>
      <c r="CD28" s="5"/>
      <c r="CE28" s="5">
        <v>14.012</v>
      </c>
      <c r="CF28" s="5">
        <v>14.015000000000001</v>
      </c>
      <c r="CG28" s="5">
        <v>14.016</v>
      </c>
      <c r="CH28" s="5">
        <v>14.018000000000001</v>
      </c>
      <c r="CI28" s="5">
        <v>14.028</v>
      </c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>
        <v>14.010999999999999</v>
      </c>
      <c r="DE28" s="5">
        <v>14.013999999999999</v>
      </c>
      <c r="DF28" s="5">
        <v>14.015000000000001</v>
      </c>
      <c r="DG28" s="5">
        <v>14.019</v>
      </c>
      <c r="DH28" s="5">
        <v>14.02</v>
      </c>
      <c r="DI28" s="5">
        <v>14.013</v>
      </c>
      <c r="DJ28" s="5">
        <v>14.013</v>
      </c>
      <c r="DK28" s="5">
        <v>14.010999999999999</v>
      </c>
      <c r="DL28" s="5">
        <v>14.013999999999999</v>
      </c>
      <c r="DM28" s="5">
        <v>14.010999999999999</v>
      </c>
      <c r="DN28" s="5">
        <v>14.021000000000001</v>
      </c>
      <c r="DO28" s="5">
        <v>14.016</v>
      </c>
      <c r="DP28" s="5">
        <v>14.021000000000001</v>
      </c>
      <c r="DQ28" s="5">
        <v>14.02</v>
      </c>
      <c r="DR28" s="5">
        <v>14.018000000000001</v>
      </c>
      <c r="DS28" s="5">
        <v>14.012</v>
      </c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>
        <v>14.010999999999999</v>
      </c>
      <c r="HI28" s="5">
        <v>14.006</v>
      </c>
      <c r="HJ28" s="5">
        <v>14.007</v>
      </c>
      <c r="HK28" s="5">
        <v>14.01</v>
      </c>
      <c r="HL28" s="5">
        <v>14.012</v>
      </c>
      <c r="HM28" s="13">
        <v>14.009</v>
      </c>
      <c r="HN28" s="14">
        <v>14.01</v>
      </c>
      <c r="HO28" s="14">
        <v>14.015000000000001</v>
      </c>
      <c r="HP28" s="14">
        <v>14.016</v>
      </c>
      <c r="HQ28" s="14"/>
      <c r="HR28" s="14"/>
      <c r="HS28" s="14"/>
      <c r="HT28" s="14"/>
      <c r="HU28" s="14"/>
      <c r="HV28" s="14"/>
      <c r="HW28" s="14"/>
      <c r="HX28" s="11"/>
      <c r="HY28" s="11"/>
      <c r="HZ28" s="11"/>
      <c r="IA28" s="11"/>
      <c r="IB28" s="11"/>
      <c r="IC28" s="11"/>
      <c r="ID28" s="11"/>
      <c r="IE28" s="11"/>
      <c r="IF28" s="11"/>
      <c r="IG28" s="11"/>
      <c r="IH28" s="14"/>
      <c r="II28" s="14"/>
      <c r="IJ28" s="14"/>
      <c r="IK28" s="14"/>
      <c r="IL28" s="14"/>
      <c r="IM28" s="14"/>
      <c r="IN28" s="14"/>
      <c r="IO28" s="14"/>
      <c r="IP28" s="14"/>
      <c r="IQ28" s="14"/>
      <c r="IR28" s="14"/>
      <c r="IS28" s="14"/>
      <c r="IT28" s="14"/>
      <c r="IU28" s="14"/>
      <c r="IV28" s="14"/>
      <c r="IW28" s="14">
        <v>14.022</v>
      </c>
      <c r="IX28" s="14">
        <v>14.021000000000001</v>
      </c>
      <c r="IY28" s="14">
        <v>14.018000000000001</v>
      </c>
      <c r="IZ28" s="14">
        <v>14.016</v>
      </c>
      <c r="JA28" s="14">
        <v>14.015000000000001</v>
      </c>
      <c r="JB28" s="14"/>
      <c r="JC28" s="14"/>
      <c r="JD28" s="14"/>
      <c r="JE28" s="14"/>
      <c r="JF28" s="14"/>
      <c r="JG28" s="14">
        <v>14.012</v>
      </c>
      <c r="JH28" s="14">
        <v>14.015000000000001</v>
      </c>
      <c r="JI28" s="14">
        <v>14.016</v>
      </c>
      <c r="JJ28" s="14">
        <v>14.018000000000001</v>
      </c>
      <c r="JK28" s="14">
        <v>14.021000000000001</v>
      </c>
      <c r="JL28" s="14"/>
      <c r="JM28" s="14"/>
      <c r="JN28" s="14"/>
      <c r="JO28" s="14"/>
      <c r="JP28" s="14"/>
      <c r="JQ28" s="14">
        <v>14.010999999999999</v>
      </c>
      <c r="JR28" s="14">
        <v>14.01</v>
      </c>
      <c r="JS28" s="14">
        <v>14.007999999999999</v>
      </c>
      <c r="JT28" s="14">
        <v>14.013</v>
      </c>
      <c r="JU28" s="14">
        <v>14.016</v>
      </c>
      <c r="JV28" s="14"/>
      <c r="JW28" s="14"/>
      <c r="JX28" s="14"/>
      <c r="JY28" s="14"/>
      <c r="JZ28" s="14"/>
      <c r="KA28" s="14">
        <v>14.012</v>
      </c>
      <c r="KB28" s="14">
        <v>14.018000000000001</v>
      </c>
      <c r="KC28" s="14">
        <v>14.022</v>
      </c>
      <c r="KD28" s="14">
        <v>14.02</v>
      </c>
      <c r="KE28" s="14">
        <v>14.019</v>
      </c>
      <c r="KF28" s="14"/>
      <c r="KG28" s="14"/>
      <c r="KH28" s="14"/>
      <c r="KI28" s="14"/>
      <c r="KJ28" s="14"/>
      <c r="KK28" s="14"/>
      <c r="KL28" s="14"/>
      <c r="KM28" s="14"/>
      <c r="KN28" s="14"/>
      <c r="KO28" s="14"/>
      <c r="KP28" s="14"/>
      <c r="KQ28" s="14"/>
      <c r="KR28" s="14"/>
      <c r="KS28" s="14"/>
      <c r="KT28" s="14"/>
      <c r="KU28" s="14"/>
      <c r="KV28" s="14"/>
      <c r="KW28" s="14"/>
      <c r="KX28" s="14"/>
      <c r="KY28" s="14"/>
      <c r="KZ28" s="14"/>
      <c r="LA28" s="14"/>
      <c r="LB28" s="14"/>
      <c r="LC28" s="14"/>
      <c r="LD28" s="14"/>
      <c r="LE28" s="14"/>
      <c r="LF28" s="14"/>
      <c r="LG28" s="14"/>
      <c r="LH28" s="14"/>
      <c r="LI28" s="14"/>
      <c r="LJ28" s="12">
        <f t="shared" si="2"/>
        <v>40</v>
      </c>
      <c r="LK28" s="6">
        <f t="shared" si="3"/>
        <v>61.948349999999991</v>
      </c>
      <c r="LL28" s="2">
        <f t="shared" si="4"/>
        <v>4.9848488391040623E-3</v>
      </c>
      <c r="LM28" s="7">
        <f t="shared" si="5"/>
        <v>1.0030394423953788</v>
      </c>
      <c r="LN28" s="7">
        <f t="shared" si="6"/>
        <v>0.64528870794151794</v>
      </c>
      <c r="LO28" s="7">
        <f t="shared" si="7"/>
        <v>1.3607901768492394</v>
      </c>
      <c r="LP28" s="7">
        <f t="shared" si="0"/>
        <v>0.64528870794151794</v>
      </c>
    </row>
    <row r="29" spans="1:328" ht="30" customHeight="1">
      <c r="A29" s="2" t="s">
        <v>41</v>
      </c>
      <c r="B29" s="2" t="s">
        <v>42</v>
      </c>
      <c r="C29" s="2" t="s">
        <v>44</v>
      </c>
      <c r="D29" s="2" t="s">
        <v>39</v>
      </c>
      <c r="E29" s="5">
        <v>116</v>
      </c>
      <c r="F29" s="5">
        <v>115.9</v>
      </c>
      <c r="G29" s="5">
        <f t="shared" si="1"/>
        <v>115.95</v>
      </c>
      <c r="H29" s="5">
        <v>115.96</v>
      </c>
      <c r="I29" s="5">
        <v>115.96</v>
      </c>
      <c r="J29" s="5">
        <v>115.95</v>
      </c>
      <c r="K29" s="5">
        <v>115.97</v>
      </c>
      <c r="L29" s="5">
        <v>115.98</v>
      </c>
      <c r="M29" s="5">
        <v>115.95</v>
      </c>
      <c r="N29" s="5">
        <v>115.98</v>
      </c>
      <c r="O29" s="5">
        <v>115.95</v>
      </c>
      <c r="P29" s="5">
        <v>115.95</v>
      </c>
      <c r="Q29" s="5">
        <v>115.98</v>
      </c>
      <c r="R29" s="5">
        <v>115.99</v>
      </c>
      <c r="S29" s="5">
        <v>115.97</v>
      </c>
      <c r="T29" s="5">
        <v>115.96</v>
      </c>
      <c r="U29" s="5">
        <v>115.95</v>
      </c>
      <c r="V29" s="5">
        <v>115.96</v>
      </c>
      <c r="W29" s="5"/>
      <c r="X29" s="5"/>
      <c r="Y29" s="5"/>
      <c r="Z29" s="5"/>
      <c r="AA29" s="5"/>
      <c r="AB29" s="5">
        <v>115.93</v>
      </c>
      <c r="AC29" s="5">
        <v>115.95</v>
      </c>
      <c r="AD29" s="5">
        <v>115.97</v>
      </c>
      <c r="AE29" s="5">
        <v>115.99</v>
      </c>
      <c r="AF29" s="5">
        <v>115.97</v>
      </c>
      <c r="AG29" s="5"/>
      <c r="AH29" s="5"/>
      <c r="AI29" s="5"/>
      <c r="AJ29" s="5"/>
      <c r="AK29" s="5"/>
      <c r="AL29" s="5">
        <v>115.97</v>
      </c>
      <c r="AM29" s="5">
        <v>115.95</v>
      </c>
      <c r="AN29" s="5">
        <v>115.98</v>
      </c>
      <c r="AO29" s="5">
        <v>115.97</v>
      </c>
      <c r="AP29" s="5">
        <v>115.96</v>
      </c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>
        <v>115.96</v>
      </c>
      <c r="BB29" s="5">
        <v>115.94</v>
      </c>
      <c r="BC29" s="5">
        <v>115.96</v>
      </c>
      <c r="BD29" s="5">
        <v>115.96</v>
      </c>
      <c r="BE29" s="5">
        <v>115.97</v>
      </c>
      <c r="BF29" s="5"/>
      <c r="BG29" s="5"/>
      <c r="BH29" s="5"/>
      <c r="BI29" s="5"/>
      <c r="BJ29" s="5"/>
      <c r="BK29" s="5">
        <v>115.97</v>
      </c>
      <c r="BL29" s="5">
        <v>115.96</v>
      </c>
      <c r="BM29" s="5">
        <v>115.97</v>
      </c>
      <c r="BN29" s="5">
        <v>115.976</v>
      </c>
      <c r="BO29" s="5">
        <v>115.99</v>
      </c>
      <c r="BP29" s="5"/>
      <c r="BQ29" s="5"/>
      <c r="BR29" s="5"/>
      <c r="BS29" s="5"/>
      <c r="BT29" s="5"/>
      <c r="BU29" s="5">
        <v>115.95</v>
      </c>
      <c r="BV29" s="5">
        <v>115.98</v>
      </c>
      <c r="BW29" s="5">
        <v>115.95</v>
      </c>
      <c r="BX29" s="5">
        <v>115.94</v>
      </c>
      <c r="BY29" s="5">
        <v>115.99</v>
      </c>
      <c r="BZ29" s="5"/>
      <c r="CA29" s="5"/>
      <c r="CB29" s="5"/>
      <c r="CC29" s="5"/>
      <c r="CD29" s="5"/>
      <c r="CE29" s="5">
        <v>115.94</v>
      </c>
      <c r="CF29" s="5">
        <v>115.95</v>
      </c>
      <c r="CG29" s="5">
        <v>115.97</v>
      </c>
      <c r="CH29" s="5">
        <v>115.98</v>
      </c>
      <c r="CI29" s="5">
        <v>115.99</v>
      </c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>
        <v>115.92</v>
      </c>
      <c r="DE29" s="5">
        <v>115.96</v>
      </c>
      <c r="DF29" s="5">
        <v>115.98</v>
      </c>
      <c r="DG29" s="5">
        <v>115.99</v>
      </c>
      <c r="DH29" s="5">
        <v>115.97</v>
      </c>
      <c r="DI29" s="5">
        <v>115.96</v>
      </c>
      <c r="DJ29" s="5">
        <v>115.99</v>
      </c>
      <c r="DK29" s="5">
        <v>115.99</v>
      </c>
      <c r="DL29" s="5">
        <v>115.97</v>
      </c>
      <c r="DM29" s="5">
        <v>115.97</v>
      </c>
      <c r="DN29" s="5">
        <v>116</v>
      </c>
      <c r="DO29" s="5">
        <v>115.96</v>
      </c>
      <c r="DP29" s="5">
        <v>115.95</v>
      </c>
      <c r="DQ29" s="5">
        <v>115.93</v>
      </c>
      <c r="DR29" s="5">
        <v>115.94</v>
      </c>
      <c r="DS29" s="5">
        <v>115.96</v>
      </c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>
        <v>115.96</v>
      </c>
      <c r="HI29" s="5">
        <v>115.92</v>
      </c>
      <c r="HJ29" s="5">
        <v>115.95</v>
      </c>
      <c r="HK29" s="5">
        <v>115.95</v>
      </c>
      <c r="HL29" s="5">
        <v>115.92</v>
      </c>
      <c r="HM29" s="13">
        <v>115.94</v>
      </c>
      <c r="HN29" s="14">
        <v>115.95</v>
      </c>
      <c r="HO29" s="14">
        <v>115.94</v>
      </c>
      <c r="HP29" s="14">
        <v>115.93</v>
      </c>
      <c r="HQ29" s="14"/>
      <c r="HR29" s="14"/>
      <c r="HS29" s="14"/>
      <c r="HT29" s="14"/>
      <c r="HU29" s="14"/>
      <c r="HV29" s="14"/>
      <c r="HW29" s="14"/>
      <c r="HX29" s="11"/>
      <c r="HY29" s="11"/>
      <c r="HZ29" s="11"/>
      <c r="IA29" s="11"/>
      <c r="IB29" s="11"/>
      <c r="IC29" s="11"/>
      <c r="ID29" s="11"/>
      <c r="IE29" s="11"/>
      <c r="IF29" s="11"/>
      <c r="IG29" s="11"/>
      <c r="IH29" s="14"/>
      <c r="II29" s="14"/>
      <c r="IJ29" s="14"/>
      <c r="IK29" s="14"/>
      <c r="IL29" s="14"/>
      <c r="IM29" s="14"/>
      <c r="IN29" s="14"/>
      <c r="IO29" s="14"/>
      <c r="IP29" s="14"/>
      <c r="IQ29" s="14"/>
      <c r="IR29" s="14"/>
      <c r="IS29" s="14"/>
      <c r="IT29" s="14"/>
      <c r="IU29" s="14"/>
      <c r="IV29" s="14"/>
      <c r="IW29" s="14">
        <v>115.9</v>
      </c>
      <c r="IX29" s="14">
        <v>115.97</v>
      </c>
      <c r="IY29" s="14">
        <v>116.01</v>
      </c>
      <c r="IZ29" s="14">
        <v>115.95</v>
      </c>
      <c r="JA29" s="14">
        <v>115.95</v>
      </c>
      <c r="JB29" s="14"/>
      <c r="JC29" s="14"/>
      <c r="JD29" s="14"/>
      <c r="JE29" s="14"/>
      <c r="JF29" s="14"/>
      <c r="JG29" s="14">
        <v>116</v>
      </c>
      <c r="JH29" s="14">
        <v>115.93</v>
      </c>
      <c r="JI29" s="14">
        <v>115.93</v>
      </c>
      <c r="JJ29" s="14">
        <v>115.94</v>
      </c>
      <c r="JK29" s="14">
        <v>115.92</v>
      </c>
      <c r="JL29" s="14"/>
      <c r="JM29" s="14"/>
      <c r="JN29" s="14"/>
      <c r="JO29" s="14"/>
      <c r="JP29" s="14"/>
      <c r="JQ29" s="14">
        <v>115.98</v>
      </c>
      <c r="JR29" s="14">
        <v>115.94</v>
      </c>
      <c r="JS29" s="14">
        <v>115.95</v>
      </c>
      <c r="JT29" s="14">
        <v>115.92</v>
      </c>
      <c r="JU29" s="14">
        <v>115.95</v>
      </c>
      <c r="JV29" s="14"/>
      <c r="JW29" s="14"/>
      <c r="JX29" s="14"/>
      <c r="JY29" s="14"/>
      <c r="JZ29" s="14"/>
      <c r="KA29" s="14">
        <v>115.99</v>
      </c>
      <c r="KB29" s="14">
        <v>115.92</v>
      </c>
      <c r="KC29" s="14">
        <v>115.92</v>
      </c>
      <c r="KD29" s="14">
        <v>115.98</v>
      </c>
      <c r="KE29" s="14">
        <v>115.97</v>
      </c>
      <c r="KF29" s="14"/>
      <c r="KG29" s="14"/>
      <c r="KH29" s="14"/>
      <c r="KI29" s="14"/>
      <c r="KJ29" s="14"/>
      <c r="KK29" s="14"/>
      <c r="KL29" s="14"/>
      <c r="KM29" s="14"/>
      <c r="KN29" s="14"/>
      <c r="KO29" s="14"/>
      <c r="KP29" s="14"/>
      <c r="KQ29" s="14"/>
      <c r="KR29" s="14"/>
      <c r="KS29" s="14"/>
      <c r="KT29" s="14"/>
      <c r="KU29" s="14"/>
      <c r="KV29" s="14"/>
      <c r="KW29" s="14"/>
      <c r="KX29" s="14"/>
      <c r="KY29" s="14"/>
      <c r="KZ29" s="14"/>
      <c r="LA29" s="14"/>
      <c r="LB29" s="14"/>
      <c r="LC29" s="14"/>
      <c r="LD29" s="14"/>
      <c r="LE29" s="14"/>
      <c r="LF29" s="14"/>
      <c r="LG29" s="14"/>
      <c r="LH29" s="14"/>
      <c r="LI29" s="14"/>
      <c r="LJ29" s="12">
        <f t="shared" si="2"/>
        <v>25</v>
      </c>
      <c r="LK29" s="6">
        <f t="shared" si="3"/>
        <v>85.023880000000005</v>
      </c>
      <c r="LL29" s="2">
        <f t="shared" si="4"/>
        <v>5.9952759180317066E-3</v>
      </c>
      <c r="LM29" s="7">
        <f t="shared" si="5"/>
        <v>0.83398997283209719</v>
      </c>
      <c r="LN29" s="7">
        <f t="shared" si="6"/>
        <v>0.89626122413690434</v>
      </c>
      <c r="LO29" s="7" t="s">
        <v>46</v>
      </c>
      <c r="LP29" s="7">
        <f t="shared" si="0"/>
        <v>0.89626122413690434</v>
      </c>
    </row>
    <row r="30" spans="1:328" ht="30" customHeight="1">
      <c r="A30" s="2" t="s">
        <v>41</v>
      </c>
      <c r="B30" s="2" t="s">
        <v>42</v>
      </c>
      <c r="C30" s="2" t="s">
        <v>45</v>
      </c>
      <c r="D30" s="2" t="s">
        <v>33</v>
      </c>
      <c r="E30" s="5">
        <v>61.957999999999998</v>
      </c>
      <c r="F30" s="5">
        <v>61.927999999999997</v>
      </c>
      <c r="G30" s="5">
        <f t="shared" si="1"/>
        <v>61.942999999999998</v>
      </c>
      <c r="H30" s="5">
        <v>61.948999999999998</v>
      </c>
      <c r="I30" s="5">
        <v>61.948</v>
      </c>
      <c r="J30" s="5">
        <v>61.951999999999998</v>
      </c>
      <c r="K30" s="5">
        <v>61.948999999999998</v>
      </c>
      <c r="L30" s="5">
        <v>61.947000000000003</v>
      </c>
      <c r="M30" s="5">
        <v>61.947000000000003</v>
      </c>
      <c r="N30" s="5">
        <v>61.945999999999998</v>
      </c>
      <c r="O30" s="5">
        <v>61.948</v>
      </c>
      <c r="P30" s="5">
        <v>61.944000000000003</v>
      </c>
      <c r="Q30" s="5">
        <v>61.944000000000003</v>
      </c>
      <c r="R30" s="5">
        <v>61.945</v>
      </c>
      <c r="S30" s="5">
        <v>61.951000000000001</v>
      </c>
      <c r="T30" s="5">
        <v>61.954000000000001</v>
      </c>
      <c r="U30" s="5">
        <v>61.951999999999998</v>
      </c>
      <c r="V30" s="5">
        <v>61.948999999999998</v>
      </c>
      <c r="W30" s="5"/>
      <c r="X30" s="5"/>
      <c r="Y30" s="5"/>
      <c r="Z30" s="5"/>
      <c r="AA30" s="5"/>
      <c r="AB30" s="5">
        <v>61.948</v>
      </c>
      <c r="AC30" s="5">
        <v>61.947000000000003</v>
      </c>
      <c r="AD30" s="5">
        <v>61.951999999999998</v>
      </c>
      <c r="AE30" s="5">
        <v>61.954000000000001</v>
      </c>
      <c r="AF30" s="5">
        <v>61.948</v>
      </c>
      <c r="AG30" s="5"/>
      <c r="AH30" s="5"/>
      <c r="AI30" s="5"/>
      <c r="AJ30" s="5"/>
      <c r="AK30" s="5"/>
      <c r="AL30" s="5">
        <v>61.954999999999998</v>
      </c>
      <c r="AM30" s="5">
        <v>61.957000000000001</v>
      </c>
      <c r="AN30" s="5">
        <v>61.954000000000001</v>
      </c>
      <c r="AO30" s="5">
        <v>61.954999999999998</v>
      </c>
      <c r="AP30" s="5">
        <v>61.957000000000001</v>
      </c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61.947000000000003</v>
      </c>
      <c r="BB30" s="5">
        <v>61.942</v>
      </c>
      <c r="BC30" s="5">
        <v>61.936</v>
      </c>
      <c r="BD30" s="5">
        <v>61.948999999999998</v>
      </c>
      <c r="BE30" s="5">
        <v>61.936999999999998</v>
      </c>
      <c r="BF30" s="5"/>
      <c r="BG30" s="5"/>
      <c r="BH30" s="5"/>
      <c r="BI30" s="5"/>
      <c r="BJ30" s="5"/>
      <c r="BK30" s="5">
        <v>61.953000000000003</v>
      </c>
      <c r="BL30" s="5">
        <v>61.947000000000003</v>
      </c>
      <c r="BM30" s="5">
        <v>61.951000000000001</v>
      </c>
      <c r="BN30" s="5">
        <v>61.948999999999998</v>
      </c>
      <c r="BO30" s="5">
        <v>61.953000000000003</v>
      </c>
      <c r="BP30" s="5"/>
      <c r="BQ30" s="5"/>
      <c r="BR30" s="5"/>
      <c r="BS30" s="5"/>
      <c r="BT30" s="5"/>
      <c r="BU30" s="5">
        <v>61.94</v>
      </c>
      <c r="BV30" s="5">
        <v>61.944000000000003</v>
      </c>
      <c r="BW30" s="5">
        <v>61.945999999999998</v>
      </c>
      <c r="BX30" s="5">
        <v>61.941000000000003</v>
      </c>
      <c r="BY30" s="5">
        <v>61.947000000000003</v>
      </c>
      <c r="BZ30" s="5"/>
      <c r="CA30" s="5"/>
      <c r="CB30" s="5"/>
      <c r="CC30" s="5"/>
      <c r="CD30" s="5"/>
      <c r="CE30" s="5">
        <v>61.951000000000001</v>
      </c>
      <c r="CF30" s="5">
        <v>61.954000000000001</v>
      </c>
      <c r="CG30" s="5">
        <v>61.942</v>
      </c>
      <c r="CH30" s="5">
        <v>61.945999999999998</v>
      </c>
      <c r="CI30" s="5">
        <v>61.944000000000003</v>
      </c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>
        <v>61.948</v>
      </c>
      <c r="DE30" s="5">
        <v>61.957000000000001</v>
      </c>
      <c r="DF30" s="5">
        <v>61.951999999999998</v>
      </c>
      <c r="DG30" s="5">
        <v>61.951000000000001</v>
      </c>
      <c r="DH30" s="5">
        <v>61.948999999999998</v>
      </c>
      <c r="DI30" s="5">
        <v>61.951999999999998</v>
      </c>
      <c r="DJ30" s="5">
        <v>61.951000000000001</v>
      </c>
      <c r="DK30" s="5">
        <v>61.954999999999998</v>
      </c>
      <c r="DL30" s="5">
        <v>61.953000000000003</v>
      </c>
      <c r="DM30" s="5">
        <v>61.942</v>
      </c>
      <c r="DN30" s="5">
        <v>61.951000000000001</v>
      </c>
      <c r="DO30" s="5">
        <v>61.948999999999998</v>
      </c>
      <c r="DP30" s="5">
        <v>61.951999999999998</v>
      </c>
      <c r="DQ30" s="5">
        <v>61.948</v>
      </c>
      <c r="DR30" s="5">
        <v>61.944000000000003</v>
      </c>
      <c r="DS30" s="5">
        <v>61.951999999999998</v>
      </c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>
        <v>61.951000000000001</v>
      </c>
      <c r="HI30" s="5">
        <v>61.95</v>
      </c>
      <c r="HJ30" s="5">
        <v>61.951000000000001</v>
      </c>
      <c r="HK30" s="5">
        <v>61.953000000000003</v>
      </c>
      <c r="HL30" s="5">
        <v>61.951000000000001</v>
      </c>
      <c r="HM30" s="13">
        <v>61.948</v>
      </c>
      <c r="HN30" s="14">
        <v>61.944000000000003</v>
      </c>
      <c r="HO30" s="14">
        <v>61.95</v>
      </c>
      <c r="HP30" s="14">
        <v>61.954999999999998</v>
      </c>
      <c r="HQ30" s="14"/>
      <c r="HR30" s="14"/>
      <c r="HS30" s="14"/>
      <c r="HT30" s="14"/>
      <c r="HU30" s="14"/>
      <c r="HV30" s="14"/>
      <c r="HW30" s="14"/>
      <c r="HX30" s="11"/>
      <c r="HY30" s="11"/>
      <c r="HZ30" s="11"/>
      <c r="IA30" s="11"/>
      <c r="IB30" s="11"/>
      <c r="IC30" s="11"/>
      <c r="ID30" s="11"/>
      <c r="IE30" s="11"/>
      <c r="IF30" s="11"/>
      <c r="IG30" s="11"/>
      <c r="IH30" s="14"/>
      <c r="II30" s="14"/>
      <c r="IJ30" s="14"/>
      <c r="IK30" s="14"/>
      <c r="IL30" s="14"/>
      <c r="IM30" s="14">
        <v>61.954000000000001</v>
      </c>
      <c r="IN30" s="14">
        <v>61.953000000000003</v>
      </c>
      <c r="IO30" s="14">
        <v>61.948</v>
      </c>
      <c r="IP30" s="14">
        <v>61.947000000000003</v>
      </c>
      <c r="IQ30" s="14">
        <v>61.933</v>
      </c>
      <c r="IR30" s="14"/>
      <c r="IS30" s="14"/>
      <c r="IT30" s="14"/>
      <c r="IU30" s="14"/>
      <c r="IV30" s="14"/>
      <c r="IW30" s="14">
        <v>61.954000000000001</v>
      </c>
      <c r="IX30" s="14">
        <v>61.95</v>
      </c>
      <c r="IY30" s="14">
        <v>61.948</v>
      </c>
      <c r="IZ30" s="14">
        <v>61.945999999999998</v>
      </c>
      <c r="JA30" s="14">
        <v>61.951000000000001</v>
      </c>
      <c r="JB30" s="14"/>
      <c r="JC30" s="14"/>
      <c r="JD30" s="14"/>
      <c r="JE30" s="14"/>
      <c r="JF30" s="14"/>
      <c r="JG30" s="14">
        <v>61.945999999999998</v>
      </c>
      <c r="JH30" s="14">
        <v>61.948</v>
      </c>
      <c r="JI30" s="14">
        <v>61.948999999999998</v>
      </c>
      <c r="JJ30" s="14">
        <v>61.947000000000003</v>
      </c>
      <c r="JK30" s="14">
        <v>61.951999999999998</v>
      </c>
      <c r="JL30" s="14"/>
      <c r="JM30" s="14"/>
      <c r="JN30" s="14"/>
      <c r="JO30" s="14"/>
      <c r="JP30" s="14"/>
      <c r="JQ30" s="14">
        <v>61.948</v>
      </c>
      <c r="JR30" s="14">
        <v>61.951999999999998</v>
      </c>
      <c r="JS30" s="14">
        <v>61.948999999999998</v>
      </c>
      <c r="JT30" s="14">
        <v>61.953000000000003</v>
      </c>
      <c r="JU30" s="14">
        <v>61.951000000000001</v>
      </c>
      <c r="JV30" s="14"/>
      <c r="JW30" s="14"/>
      <c r="JX30" s="14"/>
      <c r="JY30" s="14"/>
      <c r="JZ30" s="14"/>
      <c r="KA30" s="14">
        <v>61.938000000000002</v>
      </c>
      <c r="KB30" s="14">
        <v>61.942</v>
      </c>
      <c r="KC30" s="14">
        <v>61.944000000000003</v>
      </c>
      <c r="KD30" s="14">
        <v>61.945</v>
      </c>
      <c r="KE30" s="14">
        <v>61.941000000000003</v>
      </c>
      <c r="KF30" s="14"/>
      <c r="KG30" s="14"/>
      <c r="KH30" s="14"/>
      <c r="KI30" s="14"/>
      <c r="KJ30" s="14"/>
      <c r="KK30" s="14"/>
      <c r="KL30" s="14"/>
      <c r="KM30" s="14"/>
      <c r="KN30" s="14"/>
      <c r="KO30" s="14"/>
      <c r="KP30" s="14"/>
      <c r="KQ30" s="14"/>
      <c r="KR30" s="14"/>
      <c r="KS30" s="14"/>
      <c r="KT30" s="14"/>
      <c r="KU30" s="14"/>
      <c r="KV30" s="14"/>
      <c r="KW30" s="14"/>
      <c r="KX30" s="14"/>
      <c r="KY30" s="14"/>
      <c r="KZ30" s="14"/>
      <c r="LA30" s="14"/>
      <c r="LB30" s="14"/>
      <c r="LC30" s="14"/>
      <c r="LD30" s="14"/>
      <c r="LE30" s="14"/>
      <c r="LF30" s="14"/>
      <c r="LG30" s="14"/>
      <c r="LH30" s="14"/>
      <c r="LI30" s="14"/>
      <c r="LJ30" s="12">
        <f t="shared" si="2"/>
        <v>35</v>
      </c>
      <c r="LK30" s="6">
        <f t="shared" si="3"/>
        <v>16.041685714285716</v>
      </c>
      <c r="LL30" s="2">
        <f t="shared" si="4"/>
        <v>3.8939729339176415E-3</v>
      </c>
      <c r="LM30" s="7">
        <f t="shared" si="5"/>
        <v>1.0700296939339611</v>
      </c>
      <c r="LN30" s="7">
        <f t="shared" si="6"/>
        <v>0.71172260785077646</v>
      </c>
      <c r="LO30" s="7">
        <f t="shared" ref="LO30:LO45" si="8">(LK30-F32)/(3*LL30)</f>
        <v>1.4283367800171456</v>
      </c>
      <c r="LP30" s="7">
        <f t="shared" si="0"/>
        <v>0.71172260785077646</v>
      </c>
    </row>
    <row r="31" spans="1:328" ht="30" customHeight="1">
      <c r="A31" s="2" t="s">
        <v>41</v>
      </c>
      <c r="B31" s="2" t="s">
        <v>42</v>
      </c>
      <c r="C31" s="2" t="s">
        <v>45</v>
      </c>
      <c r="D31" s="2" t="s">
        <v>34</v>
      </c>
      <c r="E31" s="5">
        <v>85.04</v>
      </c>
      <c r="F31" s="5">
        <v>85.01</v>
      </c>
      <c r="G31" s="5">
        <f t="shared" si="1"/>
        <v>85.025000000000006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85.025999999999996</v>
      </c>
      <c r="AC31" s="5">
        <v>85.022000000000006</v>
      </c>
      <c r="AD31" s="5">
        <v>85.028000000000006</v>
      </c>
      <c r="AE31" s="5">
        <v>85.025999999999996</v>
      </c>
      <c r="AF31" s="5">
        <v>85.031999999999996</v>
      </c>
      <c r="AG31" s="5"/>
      <c r="AH31" s="5"/>
      <c r="AI31" s="5"/>
      <c r="AJ31" s="5"/>
      <c r="AK31" s="5"/>
      <c r="AL31" s="5">
        <v>85.012</v>
      </c>
      <c r="AM31" s="5">
        <v>85.016999999999996</v>
      </c>
      <c r="AN31" s="5">
        <v>85.013000000000005</v>
      </c>
      <c r="AO31" s="5">
        <v>85.012</v>
      </c>
      <c r="AP31" s="5">
        <v>85.021000000000001</v>
      </c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>
        <v>85.024000000000001</v>
      </c>
      <c r="BB31" s="5">
        <v>85.028999999999996</v>
      </c>
      <c r="BC31" s="5">
        <v>85.031999999999996</v>
      </c>
      <c r="BD31" s="5">
        <v>85.025000000000006</v>
      </c>
      <c r="BE31" s="5">
        <v>85.034000000000006</v>
      </c>
      <c r="BF31" s="5"/>
      <c r="BG31" s="5"/>
      <c r="BH31" s="5"/>
      <c r="BI31" s="5"/>
      <c r="BJ31" s="5"/>
      <c r="BK31" s="5">
        <v>85.031000000000006</v>
      </c>
      <c r="BL31" s="5">
        <v>85.028000000000006</v>
      </c>
      <c r="BM31" s="5">
        <v>85.021000000000001</v>
      </c>
      <c r="BN31" s="5">
        <v>85.022999999999996</v>
      </c>
      <c r="BO31" s="5">
        <v>85.025999999999996</v>
      </c>
      <c r="BP31" s="5"/>
      <c r="BQ31" s="5"/>
      <c r="BR31" s="5"/>
      <c r="BS31" s="5"/>
      <c r="BT31" s="5"/>
      <c r="BU31" s="5">
        <v>85.025000000000006</v>
      </c>
      <c r="BV31" s="5">
        <v>85.022000000000006</v>
      </c>
      <c r="BW31" s="5">
        <v>85.019000000000005</v>
      </c>
      <c r="BX31" s="5">
        <v>85.022999999999996</v>
      </c>
      <c r="BY31" s="5">
        <v>85.025999999999996</v>
      </c>
      <c r="BZ31" s="5"/>
      <c r="CA31" s="5"/>
      <c r="CB31" s="5"/>
      <c r="CC31" s="5"/>
      <c r="CD31" s="5"/>
      <c r="CE31" s="5">
        <v>85.03</v>
      </c>
      <c r="CF31" s="5">
        <v>85.024000000000001</v>
      </c>
      <c r="CG31" s="5">
        <v>85.025999999999996</v>
      </c>
      <c r="CH31" s="5">
        <v>85.021000000000001</v>
      </c>
      <c r="CI31" s="5">
        <v>85.022999999999996</v>
      </c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>
        <v>85.022000000000006</v>
      </c>
      <c r="DE31" s="5">
        <v>85.024000000000001</v>
      </c>
      <c r="DF31" s="5">
        <v>85.025999999999996</v>
      </c>
      <c r="DG31" s="5">
        <v>85.03</v>
      </c>
      <c r="DH31" s="5">
        <v>85.025000000000006</v>
      </c>
      <c r="DI31" s="5">
        <v>85.022000000000006</v>
      </c>
      <c r="DJ31" s="5">
        <v>85.022000000000006</v>
      </c>
      <c r="DK31" s="5">
        <v>85.022999999999996</v>
      </c>
      <c r="DL31" s="5">
        <v>85.024000000000001</v>
      </c>
      <c r="DM31" s="5">
        <v>85.02</v>
      </c>
      <c r="DN31" s="5">
        <v>85.031999999999996</v>
      </c>
      <c r="DO31" s="5">
        <v>85.028999999999996</v>
      </c>
      <c r="DP31" s="5">
        <v>85.022000000000006</v>
      </c>
      <c r="DQ31" s="5">
        <v>85.022000000000006</v>
      </c>
      <c r="DR31" s="5">
        <v>85.024000000000001</v>
      </c>
      <c r="DS31" s="5">
        <v>85.025000000000006</v>
      </c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>
        <v>85.027000000000001</v>
      </c>
      <c r="HI31" s="5">
        <v>85.024000000000001</v>
      </c>
      <c r="HJ31" s="5">
        <v>85.025000000000006</v>
      </c>
      <c r="HK31" s="5">
        <v>85.025000000000006</v>
      </c>
      <c r="HL31" s="5">
        <v>85.021000000000001</v>
      </c>
      <c r="HM31" s="13">
        <v>85.024000000000001</v>
      </c>
      <c r="HN31" s="14">
        <v>85.027000000000001</v>
      </c>
      <c r="HO31" s="14">
        <v>85.024000000000001</v>
      </c>
      <c r="HP31" s="14">
        <v>85.022999999999996</v>
      </c>
      <c r="HQ31" s="14"/>
      <c r="HR31" s="14"/>
      <c r="HS31" s="14"/>
      <c r="HT31" s="14"/>
      <c r="HU31" s="14"/>
      <c r="HV31" s="14"/>
      <c r="HW31" s="14"/>
      <c r="HX31" s="11"/>
      <c r="HY31" s="11"/>
      <c r="HZ31" s="11"/>
      <c r="IA31" s="11"/>
      <c r="IB31" s="11"/>
      <c r="IC31" s="11"/>
      <c r="ID31" s="11"/>
      <c r="IE31" s="11"/>
      <c r="IF31" s="11"/>
      <c r="IG31" s="11"/>
      <c r="IH31" s="14"/>
      <c r="II31" s="14"/>
      <c r="IJ31" s="14"/>
      <c r="IK31" s="14"/>
      <c r="IL31" s="14"/>
      <c r="IM31" s="14">
        <v>85.018000000000001</v>
      </c>
      <c r="IN31" s="14">
        <v>85.019000000000005</v>
      </c>
      <c r="IO31" s="14">
        <v>85.024000000000001</v>
      </c>
      <c r="IP31" s="14">
        <v>85.022000000000006</v>
      </c>
      <c r="IQ31" s="14">
        <v>85.02</v>
      </c>
      <c r="IR31" s="14"/>
      <c r="IS31" s="14"/>
      <c r="IT31" s="14"/>
      <c r="IU31" s="14"/>
      <c r="IV31" s="14"/>
      <c r="IW31" s="14">
        <v>85.031999999999996</v>
      </c>
      <c r="IX31" s="14">
        <v>85.028000000000006</v>
      </c>
      <c r="IY31" s="14">
        <v>85.024000000000001</v>
      </c>
      <c r="IZ31" s="14">
        <v>85.022000000000006</v>
      </c>
      <c r="JA31" s="14">
        <v>85.03</v>
      </c>
      <c r="JB31" s="14"/>
      <c r="JC31" s="14"/>
      <c r="JD31" s="14"/>
      <c r="JE31" s="14"/>
      <c r="JF31" s="14"/>
      <c r="JG31" s="14">
        <v>85.022000000000006</v>
      </c>
      <c r="JH31" s="14">
        <v>85.024000000000001</v>
      </c>
      <c r="JI31" s="14">
        <v>85.022000000000006</v>
      </c>
      <c r="JJ31" s="14">
        <v>85.027000000000001</v>
      </c>
      <c r="JK31" s="14">
        <v>85.031000000000006</v>
      </c>
      <c r="JL31" s="14"/>
      <c r="JM31" s="14"/>
      <c r="JN31" s="14"/>
      <c r="JO31" s="14"/>
      <c r="JP31" s="14"/>
      <c r="JQ31" s="14">
        <v>85.03</v>
      </c>
      <c r="JR31" s="14">
        <v>85.028999999999996</v>
      </c>
      <c r="JS31" s="14">
        <v>85.028000000000006</v>
      </c>
      <c r="JT31" s="14">
        <v>85.028999999999996</v>
      </c>
      <c r="JU31" s="14">
        <v>85.031999999999996</v>
      </c>
      <c r="JV31" s="14"/>
      <c r="JW31" s="14"/>
      <c r="JX31" s="14"/>
      <c r="JY31" s="14"/>
      <c r="JZ31" s="14"/>
      <c r="KA31" s="14">
        <v>85.024000000000001</v>
      </c>
      <c r="KB31" s="14">
        <v>85.025999999999996</v>
      </c>
      <c r="KC31" s="14">
        <v>85.022000000000006</v>
      </c>
      <c r="KD31" s="14">
        <v>85.021000000000001</v>
      </c>
      <c r="KE31" s="14">
        <v>85.024000000000001</v>
      </c>
      <c r="KF31" s="14"/>
      <c r="KG31" s="14"/>
      <c r="KH31" s="14"/>
      <c r="KI31" s="14"/>
      <c r="KJ31" s="14"/>
      <c r="KK31" s="14"/>
      <c r="KL31" s="14"/>
      <c r="KM31" s="14"/>
      <c r="KN31" s="14"/>
      <c r="KO31" s="14"/>
      <c r="KP31" s="14"/>
      <c r="KQ31" s="14"/>
      <c r="KR31" s="14"/>
      <c r="KS31" s="14"/>
      <c r="KT31" s="14"/>
      <c r="KU31" s="14"/>
      <c r="KV31" s="14"/>
      <c r="KW31" s="14"/>
      <c r="KX31" s="14"/>
      <c r="KY31" s="14"/>
      <c r="KZ31" s="14"/>
      <c r="LA31" s="14"/>
      <c r="LB31" s="14"/>
      <c r="LC31" s="14"/>
      <c r="LD31" s="14"/>
      <c r="LE31" s="14"/>
      <c r="LF31" s="14"/>
      <c r="LG31" s="14"/>
      <c r="LH31" s="14"/>
      <c r="LI31" s="14"/>
      <c r="LJ31" s="12">
        <f t="shared" si="2"/>
        <v>25</v>
      </c>
      <c r="LK31" s="6">
        <f t="shared" si="3"/>
        <v>52.490199999999994</v>
      </c>
      <c r="LL31" s="2">
        <f t="shared" si="4"/>
        <v>1.6624768168809656</v>
      </c>
      <c r="LM31" s="7">
        <f t="shared" si="5"/>
        <v>3.0075607366248118E-3</v>
      </c>
      <c r="LN31" s="7">
        <f t="shared" si="6"/>
        <v>-9.4277003890727115E-2</v>
      </c>
      <c r="LO31" s="7">
        <f t="shared" si="8"/>
        <v>0.10029212536397673</v>
      </c>
      <c r="LP31" s="7">
        <f t="shared" si="0"/>
        <v>-9.4277003890727115E-2</v>
      </c>
    </row>
    <row r="32" spans="1:328" ht="30" customHeight="1">
      <c r="A32" s="2" t="s">
        <v>41</v>
      </c>
      <c r="B32" s="2" t="s">
        <v>42</v>
      </c>
      <c r="C32" s="2" t="s">
        <v>45</v>
      </c>
      <c r="D32" s="2" t="s">
        <v>35</v>
      </c>
      <c r="E32" s="5">
        <v>16.05</v>
      </c>
      <c r="F32" s="5">
        <v>16.024999999999999</v>
      </c>
      <c r="G32" s="5">
        <f t="shared" si="1"/>
        <v>16.037500000000001</v>
      </c>
      <c r="H32" s="5">
        <v>16.036000000000001</v>
      </c>
      <c r="I32" s="5">
        <v>16.036999999999999</v>
      </c>
      <c r="J32" s="5">
        <v>16.042000000000002</v>
      </c>
      <c r="K32" s="5">
        <v>16.04</v>
      </c>
      <c r="L32" s="5">
        <v>16.041</v>
      </c>
      <c r="M32" s="5"/>
      <c r="N32" s="5"/>
      <c r="O32" s="5"/>
      <c r="P32" s="5"/>
      <c r="Q32" s="5"/>
      <c r="R32" s="5">
        <v>16.041</v>
      </c>
      <c r="S32" s="5">
        <v>16.042000000000002</v>
      </c>
      <c r="T32" s="5">
        <v>16.044</v>
      </c>
      <c r="U32" s="5">
        <v>16.045999999999999</v>
      </c>
      <c r="V32" s="5">
        <v>16.048999999999999</v>
      </c>
      <c r="W32" s="5"/>
      <c r="X32" s="5"/>
      <c r="Y32" s="5"/>
      <c r="Z32" s="5"/>
      <c r="AA32" s="5"/>
      <c r="AB32" s="5">
        <v>16.044</v>
      </c>
      <c r="AC32" s="5">
        <v>16.042999999999999</v>
      </c>
      <c r="AD32" s="5">
        <v>16.041</v>
      </c>
      <c r="AE32" s="5">
        <v>16.042000000000002</v>
      </c>
      <c r="AF32" s="5">
        <v>16.04</v>
      </c>
      <c r="AG32" s="5"/>
      <c r="AH32" s="5"/>
      <c r="AI32" s="5"/>
      <c r="AJ32" s="5"/>
      <c r="AK32" s="5"/>
      <c r="AL32" s="5">
        <v>16.04</v>
      </c>
      <c r="AM32" s="5">
        <v>16.041</v>
      </c>
      <c r="AN32" s="5">
        <v>16.04</v>
      </c>
      <c r="AO32" s="5">
        <v>16.044</v>
      </c>
      <c r="AP32" s="5">
        <v>16.047000000000001</v>
      </c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>
        <v>16.036000000000001</v>
      </c>
      <c r="BB32" s="5">
        <v>16.042000000000002</v>
      </c>
      <c r="BC32" s="5">
        <v>16.044</v>
      </c>
      <c r="BD32" s="5">
        <v>16.027000000000001</v>
      </c>
      <c r="BE32" s="5">
        <v>16.04</v>
      </c>
      <c r="BF32" s="5"/>
      <c r="BG32" s="5"/>
      <c r="BH32" s="5"/>
      <c r="BI32" s="5"/>
      <c r="BJ32" s="5"/>
      <c r="BK32" s="5">
        <v>16.042000000000002</v>
      </c>
      <c r="BL32" s="5">
        <v>16.045999999999999</v>
      </c>
      <c r="BM32" s="5">
        <v>16.042999999999999</v>
      </c>
      <c r="BN32" s="5">
        <v>16.039000000000001</v>
      </c>
      <c r="BO32" s="5">
        <v>16.041</v>
      </c>
      <c r="BP32" s="5"/>
      <c r="BQ32" s="5"/>
      <c r="BR32" s="5"/>
      <c r="BS32" s="5"/>
      <c r="BT32" s="5"/>
      <c r="BU32" s="5">
        <v>16.042000000000002</v>
      </c>
      <c r="BV32" s="5">
        <v>16.041</v>
      </c>
      <c r="BW32" s="5">
        <v>16.047000000000001</v>
      </c>
      <c r="BX32" s="5">
        <v>16.045000000000002</v>
      </c>
      <c r="BY32" s="5">
        <v>16.044</v>
      </c>
      <c r="BZ32" s="5"/>
      <c r="CA32" s="5"/>
      <c r="CB32" s="5"/>
      <c r="CC32" s="5"/>
      <c r="CD32" s="5"/>
      <c r="CE32" s="5">
        <v>16.052</v>
      </c>
      <c r="CF32" s="5">
        <v>16.05</v>
      </c>
      <c r="CG32" s="5">
        <v>16.047999999999998</v>
      </c>
      <c r="CH32" s="5">
        <v>16.042000000000002</v>
      </c>
      <c r="CI32" s="5">
        <v>16.047000000000001</v>
      </c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>
        <v>16.042000000000002</v>
      </c>
      <c r="DE32" s="5">
        <v>16.04</v>
      </c>
      <c r="DF32" s="5">
        <v>16.036999999999999</v>
      </c>
      <c r="DG32" s="5">
        <v>16.044</v>
      </c>
      <c r="DH32" s="5">
        <v>16.041</v>
      </c>
      <c r="DI32" s="5">
        <v>16.045999999999999</v>
      </c>
      <c r="DJ32" s="5">
        <v>16.044</v>
      </c>
      <c r="DK32" s="5">
        <v>16.047000000000001</v>
      </c>
      <c r="DL32" s="5">
        <v>16.045999999999999</v>
      </c>
      <c r="DM32" s="5">
        <v>16.045999999999999</v>
      </c>
      <c r="DN32" s="5">
        <v>16.044</v>
      </c>
      <c r="DO32" s="5">
        <v>16.036000000000001</v>
      </c>
      <c r="DP32" s="5">
        <v>16.038</v>
      </c>
      <c r="DQ32" s="5">
        <v>16.042000000000002</v>
      </c>
      <c r="DR32" s="5">
        <v>16.04</v>
      </c>
      <c r="DS32" s="5">
        <v>16.047999999999998</v>
      </c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>
        <v>16.045000000000002</v>
      </c>
      <c r="HI32" s="5">
        <v>16.044</v>
      </c>
      <c r="HJ32" s="5">
        <v>16.045000000000002</v>
      </c>
      <c r="HK32" s="5">
        <v>16.042999999999999</v>
      </c>
      <c r="HL32" s="5">
        <v>16.041</v>
      </c>
      <c r="HM32" s="13">
        <v>16.04</v>
      </c>
      <c r="HN32" s="14">
        <v>16.038</v>
      </c>
      <c r="HO32" s="14">
        <v>16.039000000000001</v>
      </c>
      <c r="HP32" s="14">
        <v>16.041</v>
      </c>
      <c r="HQ32" s="14"/>
      <c r="HR32" s="14"/>
      <c r="HS32" s="14"/>
      <c r="HT32" s="14"/>
      <c r="HU32" s="14"/>
      <c r="HV32" s="14"/>
      <c r="HW32" s="14"/>
      <c r="HX32" s="11"/>
      <c r="HY32" s="11"/>
      <c r="HZ32" s="11"/>
      <c r="IA32" s="11"/>
      <c r="IB32" s="11"/>
      <c r="IC32" s="11"/>
      <c r="ID32" s="11"/>
      <c r="IE32" s="11"/>
      <c r="IF32" s="11"/>
      <c r="IG32" s="11"/>
      <c r="IH32" s="14"/>
      <c r="II32" s="14"/>
      <c r="IJ32" s="14"/>
      <c r="IK32" s="14"/>
      <c r="IL32" s="14"/>
      <c r="IM32" s="14"/>
      <c r="IN32" s="14"/>
      <c r="IO32" s="14"/>
      <c r="IP32" s="14"/>
      <c r="IQ32" s="14"/>
      <c r="IR32" s="14"/>
      <c r="IS32" s="14"/>
      <c r="IT32" s="14"/>
      <c r="IU32" s="14"/>
      <c r="IV32" s="14"/>
      <c r="IW32" s="14">
        <v>16.052</v>
      </c>
      <c r="IX32" s="14">
        <v>16.048999999999999</v>
      </c>
      <c r="IY32" s="14">
        <v>16.042999999999999</v>
      </c>
      <c r="IZ32" s="14">
        <v>16.042000000000002</v>
      </c>
      <c r="JA32" s="14">
        <v>16.041</v>
      </c>
      <c r="JB32" s="14"/>
      <c r="JC32" s="14"/>
      <c r="JD32" s="14"/>
      <c r="JE32" s="14"/>
      <c r="JF32" s="14"/>
      <c r="JG32" s="14">
        <v>16.042000000000002</v>
      </c>
      <c r="JH32" s="14">
        <v>16.044</v>
      </c>
      <c r="JI32" s="14">
        <v>16.47</v>
      </c>
      <c r="JJ32" s="14">
        <v>16.048999999999999</v>
      </c>
      <c r="JK32" s="14">
        <v>16.039000000000001</v>
      </c>
      <c r="JL32" s="14"/>
      <c r="JM32" s="14"/>
      <c r="JN32" s="14"/>
      <c r="JO32" s="14"/>
      <c r="JP32" s="14"/>
      <c r="JQ32" s="14">
        <v>16.047999999999998</v>
      </c>
      <c r="JR32" s="14">
        <v>16.044</v>
      </c>
      <c r="JS32" s="14">
        <v>16.045999999999999</v>
      </c>
      <c r="JT32" s="14">
        <v>16.048999999999999</v>
      </c>
      <c r="JU32" s="14">
        <v>16.050999999999998</v>
      </c>
      <c r="JV32" s="14"/>
      <c r="JW32" s="14"/>
      <c r="JX32" s="14"/>
      <c r="JY32" s="14"/>
      <c r="JZ32" s="14"/>
      <c r="KA32" s="14">
        <v>16.047999999999998</v>
      </c>
      <c r="KB32" s="14">
        <v>16.044</v>
      </c>
      <c r="KC32" s="14">
        <v>16.042000000000002</v>
      </c>
      <c r="KD32" s="14">
        <v>16.041</v>
      </c>
      <c r="KE32" s="14">
        <v>16.038</v>
      </c>
      <c r="KF32" s="14"/>
      <c r="KG32" s="14"/>
      <c r="KH32" s="14"/>
      <c r="KI32" s="14"/>
      <c r="KJ32" s="14"/>
      <c r="KK32" s="14"/>
      <c r="KL32" s="14"/>
      <c r="KM32" s="14"/>
      <c r="KN32" s="14"/>
      <c r="KO32" s="14"/>
      <c r="KP32" s="14"/>
      <c r="KQ32" s="14"/>
      <c r="KR32" s="14"/>
      <c r="KS32" s="14"/>
      <c r="KT32" s="14"/>
      <c r="KU32" s="14"/>
      <c r="KV32" s="14"/>
      <c r="KW32" s="14"/>
      <c r="KX32" s="14"/>
      <c r="KY32" s="14"/>
      <c r="KZ32" s="14"/>
      <c r="LA32" s="14"/>
      <c r="LB32" s="14"/>
      <c r="LC32" s="14"/>
      <c r="LD32" s="14"/>
      <c r="LE32" s="14"/>
      <c r="LF32" s="14"/>
      <c r="LG32" s="14"/>
      <c r="LH32" s="14"/>
      <c r="LI32" s="14"/>
      <c r="LJ32" s="12">
        <f t="shared" si="2"/>
        <v>40</v>
      </c>
      <c r="LK32" s="6">
        <f t="shared" si="3"/>
        <v>14.015700000000001</v>
      </c>
      <c r="LL32" s="2">
        <f t="shared" si="4"/>
        <v>5.6893963448885086E-3</v>
      </c>
      <c r="LM32" s="7">
        <f t="shared" si="5"/>
        <v>1.4647130957610335</v>
      </c>
      <c r="LN32" s="7">
        <f t="shared" si="6"/>
        <v>0.83781589077524976</v>
      </c>
      <c r="LO32" s="7">
        <f t="shared" si="8"/>
        <v>2.0916103007468174</v>
      </c>
      <c r="LP32" s="7">
        <f>MIN(LN32:LO32)</f>
        <v>0.83781589077524976</v>
      </c>
    </row>
    <row r="33" spans="1:328" ht="30" customHeight="1">
      <c r="A33" s="2" t="s">
        <v>41</v>
      </c>
      <c r="B33" s="2" t="s">
        <v>42</v>
      </c>
      <c r="C33" s="2" t="s">
        <v>45</v>
      </c>
      <c r="D33" s="2" t="s">
        <v>36</v>
      </c>
      <c r="E33" s="5">
        <v>52.02</v>
      </c>
      <c r="F33" s="5">
        <v>51.99</v>
      </c>
      <c r="G33" s="5">
        <f t="shared" si="1"/>
        <v>52.005000000000003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>
        <v>52.014000000000003</v>
      </c>
      <c r="AC33" s="5">
        <v>52.011000000000003</v>
      </c>
      <c r="AD33" s="5">
        <v>52.012</v>
      </c>
      <c r="AE33" s="5">
        <v>52.015000000000001</v>
      </c>
      <c r="AF33" s="5">
        <v>52.008000000000003</v>
      </c>
      <c r="AG33" s="5"/>
      <c r="AH33" s="5"/>
      <c r="AI33" s="5"/>
      <c r="AJ33" s="5"/>
      <c r="AK33" s="5"/>
      <c r="AL33" s="5">
        <v>52.015999999999998</v>
      </c>
      <c r="AM33" s="5">
        <v>52.006999999999998</v>
      </c>
      <c r="AN33" s="5">
        <v>52.018000000000001</v>
      </c>
      <c r="AO33" s="5">
        <v>58.008000000000003</v>
      </c>
      <c r="AP33" s="5">
        <v>58.02</v>
      </c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>
        <v>52.011000000000003</v>
      </c>
      <c r="BB33" s="5">
        <v>52.015999999999998</v>
      </c>
      <c r="BC33" s="5">
        <v>51.996000000000002</v>
      </c>
      <c r="BD33" s="5">
        <v>52.017000000000003</v>
      </c>
      <c r="BE33" s="5">
        <v>52.01</v>
      </c>
      <c r="BF33" s="5"/>
      <c r="BG33" s="5"/>
      <c r="BH33" s="5"/>
      <c r="BI33" s="5"/>
      <c r="BJ33" s="5"/>
      <c r="BK33" s="5">
        <v>52.008000000000003</v>
      </c>
      <c r="BL33" s="5">
        <v>52.006</v>
      </c>
      <c r="BM33" s="5">
        <v>52.011000000000003</v>
      </c>
      <c r="BN33" s="5">
        <v>52.009</v>
      </c>
      <c r="BO33" s="5">
        <v>52.012999999999998</v>
      </c>
      <c r="BP33" s="5"/>
      <c r="BQ33" s="5"/>
      <c r="BR33" s="5"/>
      <c r="BS33" s="5"/>
      <c r="BT33" s="5"/>
      <c r="BU33" s="5">
        <v>52.002000000000002</v>
      </c>
      <c r="BV33" s="5">
        <v>52.003999999999998</v>
      </c>
      <c r="BW33" s="5">
        <v>52.01</v>
      </c>
      <c r="BX33" s="5">
        <v>52.006999999999998</v>
      </c>
      <c r="BY33" s="5">
        <v>52.006</v>
      </c>
      <c r="BZ33" s="5"/>
      <c r="CA33" s="5"/>
      <c r="CB33" s="5"/>
      <c r="CC33" s="5"/>
      <c r="CD33" s="5"/>
      <c r="CE33" s="5">
        <v>52.008000000000003</v>
      </c>
      <c r="CF33" s="5">
        <v>52.012</v>
      </c>
      <c r="CG33" s="5">
        <v>52.015000000000001</v>
      </c>
      <c r="CH33" s="5">
        <v>52.011000000000003</v>
      </c>
      <c r="CI33" s="5">
        <v>52.01</v>
      </c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>
        <v>52.009</v>
      </c>
      <c r="DE33" s="5">
        <v>52.01</v>
      </c>
      <c r="DF33" s="5">
        <v>52.011000000000003</v>
      </c>
      <c r="DG33" s="5">
        <v>52.01</v>
      </c>
      <c r="DH33" s="5">
        <v>52.006999999999998</v>
      </c>
      <c r="DI33" s="5">
        <v>52.009</v>
      </c>
      <c r="DJ33" s="5">
        <v>52.003</v>
      </c>
      <c r="DK33" s="5">
        <v>52.006</v>
      </c>
      <c r="DL33" s="5">
        <v>52.005000000000003</v>
      </c>
      <c r="DM33" s="5">
        <v>52.006999999999998</v>
      </c>
      <c r="DN33" s="5">
        <v>52.003</v>
      </c>
      <c r="DO33" s="5">
        <v>52.005000000000003</v>
      </c>
      <c r="DP33" s="5">
        <v>52.008000000000003</v>
      </c>
      <c r="DQ33" s="5">
        <v>52.009</v>
      </c>
      <c r="DR33" s="5">
        <v>52.012</v>
      </c>
      <c r="DS33" s="5">
        <v>52.005000000000003</v>
      </c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>
        <v>52.006999999999998</v>
      </c>
      <c r="HI33" s="5">
        <v>52.005000000000003</v>
      </c>
      <c r="HJ33" s="5">
        <v>52.006</v>
      </c>
      <c r="HK33" s="5">
        <v>52.006</v>
      </c>
      <c r="HL33" s="5">
        <v>52.009</v>
      </c>
      <c r="HM33" s="13">
        <v>52.01</v>
      </c>
      <c r="HN33" s="14">
        <v>52.011000000000003</v>
      </c>
      <c r="HO33" s="14">
        <v>52.015000000000001</v>
      </c>
      <c r="HP33" s="14">
        <v>52.015999999999998</v>
      </c>
      <c r="HQ33" s="14"/>
      <c r="HR33" s="14"/>
      <c r="HS33" s="14"/>
      <c r="HT33" s="14"/>
      <c r="HU33" s="14"/>
      <c r="HV33" s="14"/>
      <c r="HW33" s="14"/>
      <c r="HX33" s="11"/>
      <c r="HY33" s="11"/>
      <c r="HZ33" s="11"/>
      <c r="IA33" s="11"/>
      <c r="IB33" s="11"/>
      <c r="IC33" s="11"/>
      <c r="ID33" s="11"/>
      <c r="IE33" s="11"/>
      <c r="IF33" s="11"/>
      <c r="IG33" s="11"/>
      <c r="IH33" s="14"/>
      <c r="II33" s="14"/>
      <c r="IJ33" s="14"/>
      <c r="IK33" s="14"/>
      <c r="IL33" s="14"/>
      <c r="IM33" s="14">
        <v>52.011000000000003</v>
      </c>
      <c r="IN33" s="14">
        <v>52.012999999999998</v>
      </c>
      <c r="IO33" s="14">
        <v>52.014000000000003</v>
      </c>
      <c r="IP33" s="14">
        <v>52.009</v>
      </c>
      <c r="IQ33" s="14">
        <v>52.006</v>
      </c>
      <c r="IR33" s="14"/>
      <c r="IS33" s="14"/>
      <c r="IT33" s="14"/>
      <c r="IU33" s="14"/>
      <c r="IV33" s="14"/>
      <c r="IW33" s="14">
        <v>52.012</v>
      </c>
      <c r="IX33" s="14">
        <v>52.01</v>
      </c>
      <c r="IY33" s="14">
        <v>52.009</v>
      </c>
      <c r="IZ33" s="14">
        <v>52.015000000000001</v>
      </c>
      <c r="JA33" s="14">
        <v>52.006</v>
      </c>
      <c r="JB33" s="14"/>
      <c r="JC33" s="14"/>
      <c r="JD33" s="14"/>
      <c r="JE33" s="14"/>
      <c r="JF33" s="14"/>
      <c r="JG33" s="14">
        <v>52.011000000000003</v>
      </c>
      <c r="JH33" s="14">
        <v>52.01</v>
      </c>
      <c r="JI33" s="14">
        <v>52.008000000000003</v>
      </c>
      <c r="JJ33" s="14">
        <v>52.009</v>
      </c>
      <c r="JK33" s="14">
        <v>52.012</v>
      </c>
      <c r="JL33" s="14"/>
      <c r="JM33" s="14"/>
      <c r="JN33" s="14"/>
      <c r="JO33" s="14"/>
      <c r="JP33" s="14"/>
      <c r="JQ33" s="14">
        <v>52.014000000000003</v>
      </c>
      <c r="JR33" s="14">
        <v>52.01</v>
      </c>
      <c r="JS33" s="14">
        <v>52.012</v>
      </c>
      <c r="JT33" s="14">
        <v>52.011000000000003</v>
      </c>
      <c r="JU33" s="14">
        <v>52.014000000000003</v>
      </c>
      <c r="JV33" s="14"/>
      <c r="JW33" s="14"/>
      <c r="JX33" s="14"/>
      <c r="JY33" s="14"/>
      <c r="JZ33" s="14"/>
      <c r="KA33" s="14">
        <v>52.008000000000003</v>
      </c>
      <c r="KB33" s="14">
        <v>52.01</v>
      </c>
      <c r="KC33" s="14">
        <v>52.012</v>
      </c>
      <c r="KD33" s="14">
        <v>52.014000000000003</v>
      </c>
      <c r="KE33" s="14">
        <v>52.011000000000003</v>
      </c>
      <c r="KF33" s="14"/>
      <c r="KG33" s="14"/>
      <c r="KH33" s="14"/>
      <c r="KI33" s="14"/>
      <c r="KJ33" s="14"/>
      <c r="KK33" s="14"/>
      <c r="KL33" s="14"/>
      <c r="KM33" s="14"/>
      <c r="KN33" s="14"/>
      <c r="KO33" s="14"/>
      <c r="KP33" s="14"/>
      <c r="KQ33" s="14"/>
      <c r="KR33" s="14"/>
      <c r="KS33" s="14"/>
      <c r="KT33" s="14"/>
      <c r="KU33" s="14"/>
      <c r="KV33" s="14"/>
      <c r="KW33" s="14"/>
      <c r="KX33" s="14"/>
      <c r="KY33" s="14"/>
      <c r="KZ33" s="14"/>
      <c r="LA33" s="14"/>
      <c r="LB33" s="14"/>
      <c r="LC33" s="14"/>
      <c r="LD33" s="14"/>
      <c r="LE33" s="14"/>
      <c r="LF33" s="14"/>
      <c r="LG33" s="14"/>
      <c r="LH33" s="14"/>
      <c r="LI33" s="14"/>
      <c r="LJ33" s="12">
        <f t="shared" si="2"/>
        <v>35</v>
      </c>
      <c r="LK33" s="6">
        <f t="shared" si="3"/>
        <v>115.95877142857138</v>
      </c>
      <c r="LL33" s="2">
        <f t="shared" si="4"/>
        <v>2.2173229373285586E-2</v>
      </c>
      <c r="LM33" s="7">
        <f t="shared" si="5"/>
        <v>0.75165716216086231</v>
      </c>
      <c r="LN33" s="7">
        <f t="shared" si="6"/>
        <v>0.61979501999967057</v>
      </c>
      <c r="LO33" s="7">
        <f t="shared" si="8"/>
        <v>0.88351930432205417</v>
      </c>
      <c r="LP33" s="7">
        <f>MIN(LN33:LO33)</f>
        <v>0.61979501999967057</v>
      </c>
    </row>
    <row r="34" spans="1:328" ht="30" customHeight="1">
      <c r="A34" s="2" t="s">
        <v>41</v>
      </c>
      <c r="B34" s="2" t="s">
        <v>42</v>
      </c>
      <c r="C34" s="2" t="s">
        <v>47</v>
      </c>
      <c r="D34" s="2" t="s">
        <v>38</v>
      </c>
      <c r="E34" s="5">
        <v>14.03</v>
      </c>
      <c r="F34" s="5">
        <v>13.98</v>
      </c>
      <c r="G34" s="5">
        <f t="shared" si="1"/>
        <v>14.004999999999999</v>
      </c>
      <c r="H34" s="5">
        <v>14.010999999999999</v>
      </c>
      <c r="I34" s="5">
        <v>14.015000000000001</v>
      </c>
      <c r="J34" s="5">
        <v>14.012</v>
      </c>
      <c r="K34" s="5">
        <v>14.016</v>
      </c>
      <c r="L34" s="5">
        <v>14.013</v>
      </c>
      <c r="M34" s="5">
        <v>14.021000000000001</v>
      </c>
      <c r="N34" s="5">
        <v>14.022</v>
      </c>
      <c r="O34" s="5">
        <v>14.021000000000001</v>
      </c>
      <c r="P34" s="5">
        <v>14.02</v>
      </c>
      <c r="Q34" s="5">
        <v>14.019</v>
      </c>
      <c r="R34" s="5">
        <v>14.016999999999999</v>
      </c>
      <c r="S34" s="5">
        <v>14.019</v>
      </c>
      <c r="T34" s="5">
        <v>14.021000000000001</v>
      </c>
      <c r="U34" s="5">
        <v>14.015000000000001</v>
      </c>
      <c r="V34" s="5">
        <v>14.012</v>
      </c>
      <c r="W34" s="5"/>
      <c r="X34" s="5"/>
      <c r="Y34" s="5"/>
      <c r="Z34" s="5"/>
      <c r="AA34" s="5"/>
      <c r="AB34" s="5">
        <v>14.012</v>
      </c>
      <c r="AC34" s="5">
        <v>14.013</v>
      </c>
      <c r="AD34" s="5">
        <v>14.016999999999999</v>
      </c>
      <c r="AE34" s="5">
        <v>14.018000000000001</v>
      </c>
      <c r="AF34" s="5">
        <v>14.016</v>
      </c>
      <c r="AG34" s="5"/>
      <c r="AH34" s="5"/>
      <c r="AI34" s="5"/>
      <c r="AJ34" s="5"/>
      <c r="AK34" s="5"/>
      <c r="AL34" s="5">
        <v>14.012</v>
      </c>
      <c r="AM34" s="5">
        <v>14.009</v>
      </c>
      <c r="AN34" s="5">
        <v>14.018000000000001</v>
      </c>
      <c r="AO34" s="5">
        <v>14.02</v>
      </c>
      <c r="AP34" s="5">
        <v>14.010999999999999</v>
      </c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>
        <v>14.012</v>
      </c>
      <c r="BB34" s="5">
        <v>14.016999999999999</v>
      </c>
      <c r="BC34" s="5">
        <v>14.010999999999999</v>
      </c>
      <c r="BD34" s="5">
        <v>13.989000000000001</v>
      </c>
      <c r="BE34" s="5">
        <v>14.010999999999999</v>
      </c>
      <c r="BF34" s="5"/>
      <c r="BG34" s="5"/>
      <c r="BH34" s="5"/>
      <c r="BI34" s="5"/>
      <c r="BJ34" s="5"/>
      <c r="BK34" s="5">
        <v>14.018000000000001</v>
      </c>
      <c r="BL34" s="5">
        <v>14.02</v>
      </c>
      <c r="BM34" s="5">
        <v>14.021000000000001</v>
      </c>
      <c r="BN34" s="5">
        <v>14.016</v>
      </c>
      <c r="BO34" s="5">
        <v>14.019</v>
      </c>
      <c r="BP34" s="5"/>
      <c r="BQ34" s="5"/>
      <c r="BR34" s="5"/>
      <c r="BS34" s="5"/>
      <c r="BT34" s="5"/>
      <c r="BU34" s="5">
        <v>14.016999999999999</v>
      </c>
      <c r="BV34" s="5">
        <v>14.022</v>
      </c>
      <c r="BW34" s="5">
        <v>14.019</v>
      </c>
      <c r="BX34" s="5">
        <v>14.016</v>
      </c>
      <c r="BY34" s="5">
        <v>14.02</v>
      </c>
      <c r="BZ34" s="5"/>
      <c r="CA34" s="5"/>
      <c r="CB34" s="5"/>
      <c r="CC34" s="5"/>
      <c r="CD34" s="5"/>
      <c r="CE34" s="5">
        <v>14.02</v>
      </c>
      <c r="CF34" s="5">
        <v>14.023</v>
      </c>
      <c r="CG34" s="5">
        <v>14.018000000000001</v>
      </c>
      <c r="CH34" s="5">
        <v>14.016999999999999</v>
      </c>
      <c r="CI34" s="5">
        <v>14.016</v>
      </c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>
        <v>14.01</v>
      </c>
      <c r="DE34" s="5">
        <v>14.012</v>
      </c>
      <c r="DF34" s="5">
        <v>14.016</v>
      </c>
      <c r="DG34" s="5">
        <v>14.015000000000001</v>
      </c>
      <c r="DH34" s="5">
        <v>14.010999999999999</v>
      </c>
      <c r="DI34" s="5">
        <v>14.009</v>
      </c>
      <c r="DJ34" s="5">
        <v>14.007999999999999</v>
      </c>
      <c r="DK34" s="5">
        <v>14.007999999999999</v>
      </c>
      <c r="DL34" s="5">
        <v>14.01</v>
      </c>
      <c r="DM34" s="5">
        <v>14.013</v>
      </c>
      <c r="DN34" s="5">
        <v>14.013999999999999</v>
      </c>
      <c r="DO34" s="5">
        <v>14.018000000000001</v>
      </c>
      <c r="DP34" s="5">
        <v>14.023</v>
      </c>
      <c r="DQ34" s="5">
        <v>14.016</v>
      </c>
      <c r="DR34" s="5">
        <v>14.018000000000001</v>
      </c>
      <c r="DS34" s="5">
        <v>14.007999999999999</v>
      </c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>
        <v>14.007</v>
      </c>
      <c r="HI34" s="5">
        <v>14.006</v>
      </c>
      <c r="HJ34" s="5">
        <v>14.007</v>
      </c>
      <c r="HK34" s="5">
        <v>14.007</v>
      </c>
      <c r="HL34" s="5">
        <v>14.015000000000001</v>
      </c>
      <c r="HM34" s="13">
        <v>14.016</v>
      </c>
      <c r="HN34" s="14">
        <v>14.01</v>
      </c>
      <c r="HO34" s="14">
        <v>14.010999999999999</v>
      </c>
      <c r="HP34" s="14">
        <v>14.012</v>
      </c>
      <c r="HQ34" s="14"/>
      <c r="HR34" s="14"/>
      <c r="HS34" s="14"/>
      <c r="HT34" s="14"/>
      <c r="HU34" s="14"/>
      <c r="HV34" s="14"/>
      <c r="HW34" s="14"/>
      <c r="HX34" s="11"/>
      <c r="HY34" s="11"/>
      <c r="HZ34" s="11"/>
      <c r="IA34" s="11"/>
      <c r="IB34" s="11"/>
      <c r="IC34" s="11"/>
      <c r="ID34" s="11"/>
      <c r="IE34" s="11"/>
      <c r="IF34" s="11"/>
      <c r="IG34" s="11"/>
      <c r="IH34" s="14"/>
      <c r="II34" s="14"/>
      <c r="IJ34" s="14"/>
      <c r="IK34" s="14"/>
      <c r="IL34" s="14"/>
      <c r="IM34" s="14">
        <v>14.016999999999999</v>
      </c>
      <c r="IN34" s="14">
        <v>14.02</v>
      </c>
      <c r="IO34" s="14">
        <v>14.021000000000001</v>
      </c>
      <c r="IP34" s="14">
        <v>14.021000000000001</v>
      </c>
      <c r="IQ34" s="14">
        <v>14.022</v>
      </c>
      <c r="IR34" s="14"/>
      <c r="IS34" s="14"/>
      <c r="IT34" s="14"/>
      <c r="IU34" s="14"/>
      <c r="IV34" s="14"/>
      <c r="IW34" s="14">
        <v>14.010999999999999</v>
      </c>
      <c r="IX34" s="14">
        <v>14.015000000000001</v>
      </c>
      <c r="IY34" s="14">
        <v>14.016</v>
      </c>
      <c r="IZ34" s="14">
        <v>14.018000000000001</v>
      </c>
      <c r="JA34" s="14">
        <v>14.016999999999999</v>
      </c>
      <c r="JB34" s="14"/>
      <c r="JC34" s="14"/>
      <c r="JD34" s="14"/>
      <c r="JE34" s="14"/>
      <c r="JF34" s="14"/>
      <c r="JG34" s="14">
        <v>14.02</v>
      </c>
      <c r="JH34" s="14">
        <v>14.016999999999999</v>
      </c>
      <c r="JI34" s="14">
        <v>14.012</v>
      </c>
      <c r="JJ34" s="14">
        <v>14.015000000000001</v>
      </c>
      <c r="JK34" s="14">
        <v>14.016</v>
      </c>
      <c r="JL34" s="14"/>
      <c r="JM34" s="14"/>
      <c r="JN34" s="14"/>
      <c r="JO34" s="14"/>
      <c r="JP34" s="14"/>
      <c r="JQ34" s="14">
        <v>14.021000000000001</v>
      </c>
      <c r="JR34" s="14">
        <v>14.019</v>
      </c>
      <c r="JS34" s="14">
        <v>14.018000000000001</v>
      </c>
      <c r="JT34" s="14">
        <v>14.016999999999999</v>
      </c>
      <c r="JU34" s="14">
        <v>14.016</v>
      </c>
      <c r="JV34" s="14"/>
      <c r="JW34" s="14"/>
      <c r="JX34" s="14"/>
      <c r="JY34" s="14"/>
      <c r="JZ34" s="14"/>
      <c r="KA34" s="14">
        <v>14.021000000000001</v>
      </c>
      <c r="KB34" s="14">
        <v>14.018000000000001</v>
      </c>
      <c r="KC34" s="14">
        <v>14.012</v>
      </c>
      <c r="KD34" s="14">
        <v>14.010999999999999</v>
      </c>
      <c r="KE34" s="14">
        <v>14.015000000000001</v>
      </c>
      <c r="KF34" s="14"/>
      <c r="KG34" s="14"/>
      <c r="KH34" s="14"/>
      <c r="KI34" s="14"/>
      <c r="KJ34" s="14"/>
      <c r="KK34" s="14"/>
      <c r="KL34" s="14"/>
      <c r="KM34" s="14"/>
      <c r="KN34" s="14"/>
      <c r="KO34" s="14"/>
      <c r="KP34" s="14"/>
      <c r="KQ34" s="14"/>
      <c r="KR34" s="14"/>
      <c r="KS34" s="14"/>
      <c r="KT34" s="14"/>
      <c r="KU34" s="14"/>
      <c r="KV34" s="14"/>
      <c r="KW34" s="14"/>
      <c r="KX34" s="14"/>
      <c r="KY34" s="14"/>
      <c r="KZ34" s="14"/>
      <c r="LA34" s="14"/>
      <c r="LB34" s="14"/>
      <c r="LC34" s="14"/>
      <c r="LD34" s="14"/>
      <c r="LE34" s="14"/>
      <c r="LF34" s="14"/>
      <c r="LG34" s="14"/>
      <c r="LH34" s="14"/>
      <c r="LI34" s="14"/>
      <c r="LJ34" s="12">
        <f t="shared" si="2"/>
        <v>10</v>
      </c>
      <c r="LK34" s="6">
        <f t="shared" si="3"/>
        <v>29.946100000000001</v>
      </c>
      <c r="LL34" s="2">
        <f t="shared" si="4"/>
        <v>2.9608557321606664E-3</v>
      </c>
      <c r="LM34" s="7">
        <f t="shared" si="5"/>
        <v>0.90064052689287288</v>
      </c>
      <c r="LN34" s="7">
        <f t="shared" si="6"/>
        <v>0.66422238858347127</v>
      </c>
      <c r="LO34" s="7">
        <f t="shared" si="8"/>
        <v>1.1370586652022745</v>
      </c>
      <c r="LP34" s="7">
        <f t="shared" si="0"/>
        <v>0.66422238858347127</v>
      </c>
    </row>
    <row r="35" spans="1:328" ht="30" customHeight="1">
      <c r="A35" s="2" t="s">
        <v>41</v>
      </c>
      <c r="B35" s="2" t="s">
        <v>42</v>
      </c>
      <c r="C35" s="2" t="s">
        <v>47</v>
      </c>
      <c r="D35" s="2" t="s">
        <v>39</v>
      </c>
      <c r="E35" s="5">
        <v>116</v>
      </c>
      <c r="F35" s="5">
        <v>115.9</v>
      </c>
      <c r="G35" s="5">
        <f t="shared" si="1"/>
        <v>115.95</v>
      </c>
      <c r="H35" s="5">
        <v>115.96</v>
      </c>
      <c r="I35" s="5">
        <v>115.94</v>
      </c>
      <c r="J35" s="5">
        <v>115.97</v>
      </c>
      <c r="K35" s="5">
        <v>115.96</v>
      </c>
      <c r="L35" s="5">
        <v>115.997</v>
      </c>
      <c r="M35" s="5">
        <v>115.92</v>
      </c>
      <c r="N35" s="5">
        <v>115.96</v>
      </c>
      <c r="O35" s="5">
        <v>115.91</v>
      </c>
      <c r="P35" s="5">
        <v>115.91</v>
      </c>
      <c r="Q35" s="5">
        <v>115.93</v>
      </c>
      <c r="R35" s="5">
        <v>115.99</v>
      </c>
      <c r="S35" s="5">
        <v>115.97</v>
      </c>
      <c r="T35" s="5">
        <v>115.94</v>
      </c>
      <c r="U35" s="5">
        <v>115.92</v>
      </c>
      <c r="V35" s="5">
        <v>115.95</v>
      </c>
      <c r="W35" s="5"/>
      <c r="X35" s="5"/>
      <c r="Y35" s="5"/>
      <c r="Z35" s="5"/>
      <c r="AA35" s="5"/>
      <c r="AB35" s="5">
        <v>115.95</v>
      </c>
      <c r="AC35" s="5">
        <v>115.98</v>
      </c>
      <c r="AD35" s="5">
        <v>115.96</v>
      </c>
      <c r="AE35" s="5">
        <v>115.98</v>
      </c>
      <c r="AF35" s="5">
        <v>115.95</v>
      </c>
      <c r="AG35" s="5"/>
      <c r="AH35" s="5"/>
      <c r="AI35" s="5"/>
      <c r="AJ35" s="5"/>
      <c r="AK35" s="5"/>
      <c r="AL35" s="5">
        <v>115.97</v>
      </c>
      <c r="AM35" s="5">
        <v>115.95</v>
      </c>
      <c r="AN35" s="5">
        <v>115.97</v>
      </c>
      <c r="AO35" s="5">
        <v>115.95</v>
      </c>
      <c r="AP35" s="5">
        <v>115.98</v>
      </c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>
        <v>115.96</v>
      </c>
      <c r="BB35" s="5">
        <v>115.95</v>
      </c>
      <c r="BC35" s="5">
        <v>115.98</v>
      </c>
      <c r="BD35" s="5">
        <v>115.95</v>
      </c>
      <c r="BE35" s="5">
        <v>115.97</v>
      </c>
      <c r="BF35" s="5"/>
      <c r="BG35" s="5"/>
      <c r="BH35" s="5"/>
      <c r="BI35" s="5"/>
      <c r="BJ35" s="5"/>
      <c r="BK35" s="5">
        <v>115.98</v>
      </c>
      <c r="BL35" s="5">
        <v>115.96</v>
      </c>
      <c r="BM35" s="5">
        <v>115.98</v>
      </c>
      <c r="BN35" s="5">
        <v>115.99</v>
      </c>
      <c r="BO35" s="5">
        <v>115.97</v>
      </c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>
        <v>115.98</v>
      </c>
      <c r="CF35" s="5">
        <v>115.97</v>
      </c>
      <c r="CG35" s="5">
        <v>115.95</v>
      </c>
      <c r="CH35" s="5">
        <v>115.97</v>
      </c>
      <c r="CI35" s="5">
        <v>115.98</v>
      </c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>
        <v>115.97</v>
      </c>
      <c r="DE35" s="5">
        <v>115.93</v>
      </c>
      <c r="DF35" s="5">
        <v>115.92</v>
      </c>
      <c r="DG35" s="5">
        <v>115.95</v>
      </c>
      <c r="DH35" s="5">
        <v>115.95</v>
      </c>
      <c r="DI35" s="5">
        <v>115.93</v>
      </c>
      <c r="DJ35" s="5">
        <v>115.97</v>
      </c>
      <c r="DK35" s="5">
        <v>115.96</v>
      </c>
      <c r="DL35" s="5">
        <v>115.93</v>
      </c>
      <c r="DM35" s="5">
        <v>115.96</v>
      </c>
      <c r="DN35" s="5">
        <v>115.98</v>
      </c>
      <c r="DO35" s="5">
        <v>115.97</v>
      </c>
      <c r="DP35" s="5">
        <v>116</v>
      </c>
      <c r="DQ35" s="5">
        <v>115.95</v>
      </c>
      <c r="DR35" s="5">
        <v>115.94</v>
      </c>
      <c r="DS35" s="5">
        <v>115.96</v>
      </c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>
        <v>115.96</v>
      </c>
      <c r="HI35" s="5">
        <v>115.94</v>
      </c>
      <c r="HJ35" s="5">
        <v>115.98</v>
      </c>
      <c r="HK35" s="5">
        <v>116</v>
      </c>
      <c r="HL35" s="5">
        <v>115.93</v>
      </c>
      <c r="HM35" s="13">
        <v>115.98</v>
      </c>
      <c r="HN35" s="14">
        <v>116</v>
      </c>
      <c r="HO35" s="14">
        <v>115.95</v>
      </c>
      <c r="HP35" s="14">
        <v>115.97</v>
      </c>
      <c r="HQ35" s="14"/>
      <c r="HR35" s="14"/>
      <c r="HS35" s="14"/>
      <c r="HT35" s="14"/>
      <c r="HU35" s="14"/>
      <c r="HV35" s="14"/>
      <c r="HW35" s="14"/>
      <c r="HX35" s="11"/>
      <c r="HY35" s="11"/>
      <c r="HZ35" s="11"/>
      <c r="IA35" s="11"/>
      <c r="IB35" s="11"/>
      <c r="IC35" s="11"/>
      <c r="ID35" s="11"/>
      <c r="IE35" s="11"/>
      <c r="IF35" s="11"/>
      <c r="IG35" s="11"/>
      <c r="IH35" s="14"/>
      <c r="II35" s="14"/>
      <c r="IJ35" s="14"/>
      <c r="IK35" s="14"/>
      <c r="IL35" s="14"/>
      <c r="IM35" s="14"/>
      <c r="IN35" s="14"/>
      <c r="IO35" s="14"/>
      <c r="IP35" s="14"/>
      <c r="IQ35" s="14"/>
      <c r="IR35" s="14"/>
      <c r="IS35" s="14"/>
      <c r="IT35" s="14"/>
      <c r="IU35" s="14"/>
      <c r="IV35" s="14"/>
      <c r="IW35" s="14">
        <v>115.95</v>
      </c>
      <c r="IX35" s="14">
        <v>115.97</v>
      </c>
      <c r="IY35" s="14">
        <v>116.01</v>
      </c>
      <c r="IZ35" s="14">
        <v>115.92</v>
      </c>
      <c r="JA35" s="14">
        <v>115.95</v>
      </c>
      <c r="JB35" s="14"/>
      <c r="JC35" s="14"/>
      <c r="JD35" s="14"/>
      <c r="JE35" s="14"/>
      <c r="JF35" s="14"/>
      <c r="JG35" s="14">
        <v>115.96</v>
      </c>
      <c r="JH35" s="14">
        <v>115.92</v>
      </c>
      <c r="JI35" s="14">
        <v>115.99</v>
      </c>
      <c r="JJ35" s="14">
        <v>115.96</v>
      </c>
      <c r="JK35" s="14">
        <v>115.96</v>
      </c>
      <c r="JL35" s="14"/>
      <c r="JM35" s="14"/>
      <c r="JN35" s="14"/>
      <c r="JO35" s="14"/>
      <c r="JP35" s="14"/>
      <c r="JQ35" s="14">
        <v>115.94</v>
      </c>
      <c r="JR35" s="14">
        <v>115.96</v>
      </c>
      <c r="JS35" s="14">
        <v>115.94</v>
      </c>
      <c r="JT35" s="14">
        <v>115.98</v>
      </c>
      <c r="JU35" s="14">
        <v>115.97</v>
      </c>
      <c r="JV35" s="14"/>
      <c r="JW35" s="14"/>
      <c r="JX35" s="14"/>
      <c r="JY35" s="14"/>
      <c r="JZ35" s="14"/>
      <c r="KA35" s="14">
        <v>115.99</v>
      </c>
      <c r="KB35" s="14">
        <v>115.98</v>
      </c>
      <c r="KC35" s="14">
        <v>115.95</v>
      </c>
      <c r="KD35" s="14">
        <v>115.96</v>
      </c>
      <c r="KE35" s="14">
        <v>115.98</v>
      </c>
      <c r="KF35" s="14"/>
      <c r="KG35" s="14"/>
      <c r="KH35" s="14"/>
      <c r="KI35" s="14"/>
      <c r="KJ35" s="14"/>
      <c r="KK35" s="14"/>
      <c r="KL35" s="14"/>
      <c r="KM35" s="14"/>
      <c r="KN35" s="14"/>
      <c r="KO35" s="14"/>
      <c r="KP35" s="14"/>
      <c r="KQ35" s="14"/>
      <c r="KR35" s="14"/>
      <c r="KS35" s="14"/>
      <c r="KT35" s="14"/>
      <c r="KU35" s="14"/>
      <c r="KV35" s="14"/>
      <c r="KW35" s="14"/>
      <c r="KX35" s="14"/>
      <c r="KY35" s="14"/>
      <c r="KZ35" s="14"/>
      <c r="LA35" s="14"/>
      <c r="LB35" s="14"/>
      <c r="LC35" s="14"/>
      <c r="LD35" s="14"/>
      <c r="LE35" s="14"/>
      <c r="LF35" s="14"/>
      <c r="LG35" s="14"/>
      <c r="LH35" s="14"/>
      <c r="LI35" s="14"/>
      <c r="LJ35" s="12">
        <f t="shared" si="2"/>
        <v>10</v>
      </c>
      <c r="LK35" s="6">
        <f t="shared" si="3"/>
        <v>27.242899999999999</v>
      </c>
      <c r="LL35" s="2">
        <f t="shared" si="4"/>
        <v>8.5381153846866216</v>
      </c>
      <c r="LM35" s="7">
        <f t="shared" si="5"/>
        <v>3.1232497413301714E-4</v>
      </c>
      <c r="LN35" s="7">
        <f t="shared" si="6"/>
        <v>0.10576494842795787</v>
      </c>
      <c r="LO35" s="7">
        <f t="shared" si="8"/>
        <v>-0.10514029847969185</v>
      </c>
      <c r="LP35" s="7">
        <f t="shared" si="0"/>
        <v>-0.10514029847969185</v>
      </c>
    </row>
    <row r="36" spans="1:328" ht="30" customHeight="1">
      <c r="A36" s="2" t="s">
        <v>48</v>
      </c>
      <c r="B36" s="2" t="s">
        <v>49</v>
      </c>
      <c r="C36" s="9" t="s">
        <v>50</v>
      </c>
      <c r="D36" s="2" t="s">
        <v>51</v>
      </c>
      <c r="E36" s="5">
        <v>29.952000000000002</v>
      </c>
      <c r="F36" s="5">
        <v>29.936</v>
      </c>
      <c r="G36" s="5">
        <f t="shared" si="1"/>
        <v>29.944000000000003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>
        <v>29.946000000000002</v>
      </c>
      <c r="BL36" s="5">
        <v>29.948</v>
      </c>
      <c r="BM36" s="5">
        <v>29.952000000000002</v>
      </c>
      <c r="BN36" s="5">
        <v>29.95</v>
      </c>
      <c r="BO36" s="5">
        <v>29.945</v>
      </c>
      <c r="BP36" s="5">
        <v>29.943999999999999</v>
      </c>
      <c r="BQ36" s="5">
        <v>29.943000000000001</v>
      </c>
      <c r="BR36" s="5">
        <v>29.943999999999999</v>
      </c>
      <c r="BS36" s="5">
        <v>29.945</v>
      </c>
      <c r="BT36" s="5">
        <v>29.943999999999999</v>
      </c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>
        <v>29.946000000000002</v>
      </c>
      <c r="DE36" s="5">
        <v>29.946000000000002</v>
      </c>
      <c r="DF36" s="5">
        <v>29.948</v>
      </c>
      <c r="DG36" s="5">
        <v>29.946999999999999</v>
      </c>
      <c r="DH36" s="5">
        <v>29.945</v>
      </c>
      <c r="DI36" s="5"/>
      <c r="DJ36" s="5"/>
      <c r="DK36" s="5"/>
      <c r="DL36" s="5"/>
      <c r="DM36" s="5"/>
      <c r="DN36" s="5">
        <v>29.943000000000001</v>
      </c>
      <c r="DO36" s="5">
        <v>29.942</v>
      </c>
      <c r="DP36" s="5">
        <v>29.943999999999999</v>
      </c>
      <c r="DQ36" s="5">
        <v>29.948</v>
      </c>
      <c r="DR36" s="5">
        <v>29.95</v>
      </c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13"/>
      <c r="HN36" s="14"/>
      <c r="HO36" s="14"/>
      <c r="HP36" s="14"/>
      <c r="HQ36" s="14"/>
      <c r="HR36" s="14"/>
      <c r="HS36" s="14"/>
      <c r="HT36" s="14"/>
      <c r="HU36" s="14"/>
      <c r="HV36" s="14"/>
      <c r="HW36" s="14"/>
      <c r="HX36" s="11"/>
      <c r="HY36" s="11"/>
      <c r="HZ36" s="11"/>
      <c r="IA36" s="11"/>
      <c r="IB36" s="11"/>
      <c r="IC36" s="11"/>
      <c r="ID36" s="11"/>
      <c r="IE36" s="11"/>
      <c r="IF36" s="11"/>
      <c r="IG36" s="11"/>
      <c r="IH36" s="14"/>
      <c r="II36" s="14"/>
      <c r="IJ36" s="14"/>
      <c r="IK36" s="14"/>
      <c r="IL36" s="14"/>
      <c r="IM36" s="14"/>
      <c r="IN36" s="14"/>
      <c r="IO36" s="14"/>
      <c r="IP36" s="14"/>
      <c r="IQ36" s="14"/>
      <c r="IR36" s="14"/>
      <c r="IS36" s="14"/>
      <c r="IT36" s="14"/>
      <c r="IU36" s="14"/>
      <c r="IV36" s="14"/>
      <c r="IW36" s="14"/>
      <c r="IX36" s="14"/>
      <c r="IY36" s="14"/>
      <c r="IZ36" s="14"/>
      <c r="JA36" s="14"/>
      <c r="JB36" s="14"/>
      <c r="JC36" s="14"/>
      <c r="JD36" s="14"/>
      <c r="JE36" s="14"/>
      <c r="JF36" s="14"/>
      <c r="JG36" s="14"/>
      <c r="JH36" s="14"/>
      <c r="JI36" s="14"/>
      <c r="JJ36" s="14"/>
      <c r="JK36" s="14"/>
      <c r="JL36" s="14"/>
      <c r="JM36" s="14"/>
      <c r="JN36" s="14"/>
      <c r="JO36" s="14"/>
      <c r="JP36" s="14"/>
      <c r="JQ36" s="14"/>
      <c r="JR36" s="14"/>
      <c r="JS36" s="14"/>
      <c r="JT36" s="14"/>
      <c r="JU36" s="14"/>
      <c r="JV36" s="14"/>
      <c r="JW36" s="14"/>
      <c r="JX36" s="14"/>
      <c r="JY36" s="14"/>
      <c r="JZ36" s="14"/>
      <c r="KA36" s="14"/>
      <c r="KB36" s="14"/>
      <c r="KC36" s="14"/>
      <c r="KD36" s="14"/>
      <c r="KE36" s="14"/>
      <c r="KF36" s="14"/>
      <c r="KG36" s="14"/>
      <c r="KH36" s="14"/>
      <c r="KI36" s="14"/>
      <c r="KJ36" s="14"/>
      <c r="KK36" s="14"/>
      <c r="KL36" s="14"/>
      <c r="KM36" s="14"/>
      <c r="KN36" s="14"/>
      <c r="KO36" s="14"/>
      <c r="KP36" s="14"/>
      <c r="KQ36" s="14"/>
      <c r="KR36" s="14"/>
      <c r="KS36" s="14"/>
      <c r="KT36" s="14"/>
      <c r="KU36" s="14"/>
      <c r="KV36" s="14"/>
      <c r="KW36" s="14"/>
      <c r="KX36" s="14"/>
      <c r="KY36" s="14"/>
      <c r="KZ36" s="14"/>
      <c r="LA36" s="14"/>
      <c r="LB36" s="14"/>
      <c r="LC36" s="14"/>
      <c r="LD36" s="14"/>
      <c r="LE36" s="14"/>
      <c r="LF36" s="14"/>
      <c r="LG36" s="14"/>
      <c r="LH36" s="14"/>
      <c r="LI36" s="14"/>
      <c r="LJ36" s="12">
        <f t="shared" si="2"/>
        <v>30</v>
      </c>
      <c r="LK36" s="6">
        <f t="shared" si="3"/>
        <v>98.900666666666666</v>
      </c>
      <c r="LL36" s="2">
        <f t="shared" si="4"/>
        <v>16.613646761402123</v>
      </c>
      <c r="LM36" s="7">
        <f t="shared" si="5"/>
        <v>3.6114888477945781E-4</v>
      </c>
      <c r="LN36" s="7">
        <f t="shared" si="6"/>
        <v>6.1462189835612788E-2</v>
      </c>
      <c r="LO36" s="7">
        <f t="shared" si="8"/>
        <v>-6.0739892066053874E-2</v>
      </c>
      <c r="LP36" s="7">
        <f t="shared" si="0"/>
        <v>-6.0739892066053874E-2</v>
      </c>
    </row>
    <row r="37" spans="1:328" ht="30" customHeight="1">
      <c r="A37" s="2" t="s">
        <v>48</v>
      </c>
      <c r="B37" s="2" t="s">
        <v>49</v>
      </c>
      <c r="C37" s="9" t="s">
        <v>50</v>
      </c>
      <c r="D37" s="2" t="s">
        <v>52</v>
      </c>
      <c r="E37" s="5">
        <v>29.952000000000002</v>
      </c>
      <c r="F37" s="5">
        <v>29.936</v>
      </c>
      <c r="G37" s="5">
        <f t="shared" si="1"/>
        <v>29.944000000000003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>
        <v>29.937999999999999</v>
      </c>
      <c r="BL37" s="5">
        <v>29.94</v>
      </c>
      <c r="BM37" s="5">
        <v>29.937000000000001</v>
      </c>
      <c r="BN37" s="5">
        <v>29.940999999999999</v>
      </c>
      <c r="BO37" s="5">
        <v>2.9430000000000001</v>
      </c>
      <c r="BP37" s="5">
        <v>29.946000000000002</v>
      </c>
      <c r="BQ37" s="5">
        <v>29.948</v>
      </c>
      <c r="BR37" s="5">
        <v>29.945</v>
      </c>
      <c r="BS37" s="5">
        <v>29.943999999999999</v>
      </c>
      <c r="BT37" s="5">
        <v>29.946999999999999</v>
      </c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>
        <v>29.940999999999999</v>
      </c>
      <c r="DE37" s="5">
        <v>29.943000000000001</v>
      </c>
      <c r="DF37" s="5">
        <v>29.94</v>
      </c>
      <c r="DG37" s="5">
        <v>29.943999999999999</v>
      </c>
      <c r="DH37" s="5">
        <v>29.940999999999999</v>
      </c>
      <c r="DI37" s="5"/>
      <c r="DJ37" s="5"/>
      <c r="DK37" s="5"/>
      <c r="DL37" s="5"/>
      <c r="DM37" s="5"/>
      <c r="DN37" s="5">
        <v>29.945</v>
      </c>
      <c r="DO37" s="5">
        <v>29.943000000000001</v>
      </c>
      <c r="DP37" s="5">
        <v>29.949000000000002</v>
      </c>
      <c r="DQ37" s="5">
        <v>29.942</v>
      </c>
      <c r="DR37" s="5">
        <v>29.937999999999999</v>
      </c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13"/>
      <c r="HN37" s="14"/>
      <c r="HO37" s="14"/>
      <c r="HP37" s="14"/>
      <c r="HQ37" s="14"/>
      <c r="HR37" s="14"/>
      <c r="HS37" s="14"/>
      <c r="HT37" s="14"/>
      <c r="HU37" s="14"/>
      <c r="HV37" s="14"/>
      <c r="HW37" s="14"/>
      <c r="HX37" s="11"/>
      <c r="HY37" s="11"/>
      <c r="HZ37" s="11"/>
      <c r="IA37" s="11"/>
      <c r="IB37" s="11"/>
      <c r="IC37" s="11"/>
      <c r="ID37" s="11"/>
      <c r="IE37" s="11"/>
      <c r="IF37" s="11"/>
      <c r="IG37" s="11"/>
      <c r="IH37" s="14"/>
      <c r="II37" s="14"/>
      <c r="IJ37" s="14"/>
      <c r="IK37" s="14"/>
      <c r="IL37" s="14"/>
      <c r="IM37" s="14"/>
      <c r="IN37" s="14"/>
      <c r="IO37" s="14"/>
      <c r="IP37" s="14"/>
      <c r="IQ37" s="14"/>
      <c r="IR37" s="14"/>
      <c r="IS37" s="14"/>
      <c r="IT37" s="14"/>
      <c r="IU37" s="14"/>
      <c r="IV37" s="14"/>
      <c r="IW37" s="14"/>
      <c r="IX37" s="14"/>
      <c r="IY37" s="14"/>
      <c r="IZ37" s="14"/>
      <c r="JA37" s="14"/>
      <c r="JB37" s="14"/>
      <c r="JC37" s="14"/>
      <c r="JD37" s="14"/>
      <c r="JE37" s="14"/>
      <c r="JF37" s="14"/>
      <c r="JG37" s="14"/>
      <c r="JH37" s="14"/>
      <c r="JI37" s="14"/>
      <c r="JJ37" s="14"/>
      <c r="JK37" s="14"/>
      <c r="JL37" s="14"/>
      <c r="JM37" s="14"/>
      <c r="JN37" s="14"/>
      <c r="JO37" s="14"/>
      <c r="JP37" s="14"/>
      <c r="JQ37" s="14"/>
      <c r="JR37" s="14"/>
      <c r="JS37" s="14"/>
      <c r="JT37" s="14"/>
      <c r="JU37" s="14"/>
      <c r="JV37" s="14"/>
      <c r="JW37" s="14"/>
      <c r="JX37" s="14"/>
      <c r="JY37" s="14"/>
      <c r="JZ37" s="14"/>
      <c r="KA37" s="14"/>
      <c r="KB37" s="14"/>
      <c r="KC37" s="14"/>
      <c r="KD37" s="14"/>
      <c r="KE37" s="14"/>
      <c r="KF37" s="14"/>
      <c r="KG37" s="14"/>
      <c r="KH37" s="14"/>
      <c r="KI37" s="14"/>
      <c r="KJ37" s="14"/>
      <c r="KK37" s="14"/>
      <c r="KL37" s="14"/>
      <c r="KM37" s="14"/>
      <c r="KN37" s="14"/>
      <c r="KO37" s="14"/>
      <c r="KP37" s="14"/>
      <c r="KQ37" s="14"/>
      <c r="KR37" s="14"/>
      <c r="KS37" s="14"/>
      <c r="KT37" s="14"/>
      <c r="KU37" s="14"/>
      <c r="KV37" s="14"/>
      <c r="KW37" s="14"/>
      <c r="KX37" s="14"/>
      <c r="KY37" s="14"/>
      <c r="KZ37" s="14"/>
      <c r="LA37" s="14"/>
      <c r="LB37" s="14"/>
      <c r="LC37" s="14"/>
      <c r="LD37" s="14"/>
      <c r="LE37" s="14"/>
      <c r="LF37" s="14"/>
      <c r="LG37" s="14"/>
      <c r="LH37" s="14"/>
      <c r="LI37" s="14"/>
      <c r="LJ37" s="12">
        <f t="shared" si="2"/>
        <v>30</v>
      </c>
      <c r="LK37" s="6">
        <f t="shared" si="3"/>
        <v>36.463200000000001</v>
      </c>
      <c r="LL37" s="2">
        <f t="shared" si="4"/>
        <v>5.886278608939961E-3</v>
      </c>
      <c r="LM37" s="7">
        <f t="shared" si="5"/>
        <v>0.70786093276967577</v>
      </c>
      <c r="LN37" s="7">
        <f t="shared" si="6"/>
        <v>0.61159184591281635</v>
      </c>
      <c r="LO37" s="7">
        <f t="shared" si="8"/>
        <v>0.80413001962653519</v>
      </c>
      <c r="LP37" s="7">
        <f t="shared" si="0"/>
        <v>0.61159184591281635</v>
      </c>
    </row>
    <row r="38" spans="1:328" ht="30" customHeight="1">
      <c r="A38" s="2" t="s">
        <v>48</v>
      </c>
      <c r="B38" s="2" t="s">
        <v>53</v>
      </c>
      <c r="C38" s="2" t="s">
        <v>54</v>
      </c>
      <c r="D38" s="2" t="s">
        <v>55</v>
      </c>
      <c r="E38" s="5">
        <v>101.964</v>
      </c>
      <c r="F38" s="5">
        <v>101.928</v>
      </c>
      <c r="G38" s="5">
        <f t="shared" si="1"/>
        <v>101.946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>
        <v>101.944</v>
      </c>
      <c r="AC38" s="5">
        <v>101.94799999999999</v>
      </c>
      <c r="AD38" s="5">
        <v>101.952</v>
      </c>
      <c r="AE38" s="5">
        <v>101.955</v>
      </c>
      <c r="AF38" s="5">
        <v>101.95699999999999</v>
      </c>
      <c r="AG38" s="5">
        <v>101.949</v>
      </c>
      <c r="AH38" s="5">
        <v>101.95399999999999</v>
      </c>
      <c r="AI38" s="5">
        <v>101.955</v>
      </c>
      <c r="AJ38" s="5">
        <v>101.94799999999999</v>
      </c>
      <c r="AK38" s="5">
        <v>101.56</v>
      </c>
      <c r="AL38" s="5">
        <v>101.93</v>
      </c>
      <c r="AM38" s="5">
        <v>101.947</v>
      </c>
      <c r="AN38" s="5">
        <v>101.944</v>
      </c>
      <c r="AO38" s="5">
        <v>101.953</v>
      </c>
      <c r="AP38" s="5">
        <v>10.938000000000001</v>
      </c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>
        <v>101.955</v>
      </c>
      <c r="BB38" s="5">
        <v>101.95099999999999</v>
      </c>
      <c r="BC38" s="5">
        <v>101.95699999999999</v>
      </c>
      <c r="BD38" s="5">
        <v>101.946</v>
      </c>
      <c r="BE38" s="5">
        <v>101.949</v>
      </c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>
        <v>101.941</v>
      </c>
      <c r="BV38" s="5">
        <v>101.94199999999999</v>
      </c>
      <c r="BW38" s="5">
        <v>101.94</v>
      </c>
      <c r="BX38" s="5">
        <v>101.94499999999999</v>
      </c>
      <c r="BY38" s="5">
        <v>101.947</v>
      </c>
      <c r="BZ38" s="5">
        <v>101.943</v>
      </c>
      <c r="CA38" s="5">
        <v>101.94199999999999</v>
      </c>
      <c r="CB38" s="5">
        <v>101.941</v>
      </c>
      <c r="CC38" s="5">
        <v>101.94199999999999</v>
      </c>
      <c r="CD38" s="5">
        <v>101.94499999999999</v>
      </c>
      <c r="CE38" s="5">
        <v>101.947</v>
      </c>
      <c r="CF38" s="5">
        <v>101.94499999999999</v>
      </c>
      <c r="CG38" s="5">
        <v>101.93899999999999</v>
      </c>
      <c r="CH38" s="5">
        <v>101.94499999999999</v>
      </c>
      <c r="CI38" s="5">
        <v>101.94199999999999</v>
      </c>
      <c r="CJ38" s="5">
        <v>101.93899999999999</v>
      </c>
      <c r="CK38" s="5">
        <v>101.941</v>
      </c>
      <c r="CL38" s="5">
        <v>101.94</v>
      </c>
      <c r="CM38" s="5">
        <v>101.938</v>
      </c>
      <c r="CN38" s="5">
        <v>101.94199999999999</v>
      </c>
      <c r="CO38" s="5"/>
      <c r="CP38" s="5"/>
      <c r="CQ38" s="5"/>
      <c r="CR38" s="5"/>
      <c r="CS38" s="5"/>
      <c r="CT38" s="5">
        <v>101.952</v>
      </c>
      <c r="CU38" s="5">
        <v>101.955</v>
      </c>
      <c r="CV38" s="5">
        <v>101.959</v>
      </c>
      <c r="CW38" s="5">
        <v>101.95399999999999</v>
      </c>
      <c r="CX38" s="5">
        <v>101.94</v>
      </c>
      <c r="CY38" s="5">
        <v>101.959</v>
      </c>
      <c r="CZ38" s="5">
        <v>101.949</v>
      </c>
      <c r="DA38" s="5">
        <v>101.947</v>
      </c>
      <c r="DB38" s="5">
        <v>101.947</v>
      </c>
      <c r="DC38" s="5">
        <v>101.947</v>
      </c>
      <c r="DD38" s="5">
        <v>101.959</v>
      </c>
      <c r="DE38" s="5">
        <v>101.964</v>
      </c>
      <c r="DF38" s="5">
        <v>101.96299999999999</v>
      </c>
      <c r="DG38" s="5">
        <v>101.96</v>
      </c>
      <c r="DH38" s="5">
        <v>101.962</v>
      </c>
      <c r="DI38" s="5">
        <v>101.941</v>
      </c>
      <c r="DJ38" s="5">
        <v>101.946</v>
      </c>
      <c r="DK38" s="5">
        <v>101.94499999999999</v>
      </c>
      <c r="DL38" s="5">
        <v>101.946</v>
      </c>
      <c r="DM38" s="5">
        <v>101.94</v>
      </c>
      <c r="DN38" s="5">
        <v>101.95699999999999</v>
      </c>
      <c r="DO38" s="5">
        <v>101.952</v>
      </c>
      <c r="DP38" s="5">
        <v>101.94799999999999</v>
      </c>
      <c r="DQ38" s="5">
        <v>101.937</v>
      </c>
      <c r="DR38" s="5">
        <v>101.95</v>
      </c>
      <c r="DS38" s="5">
        <v>101.95</v>
      </c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>
        <v>101.946</v>
      </c>
      <c r="HI38" s="5">
        <v>101.956</v>
      </c>
      <c r="HJ38" s="5">
        <v>101.949</v>
      </c>
      <c r="HK38" s="5">
        <v>101.947</v>
      </c>
      <c r="HL38" s="5">
        <v>101.93600000000001</v>
      </c>
      <c r="HM38" s="13">
        <v>101.941</v>
      </c>
      <c r="HN38" s="14">
        <v>101.938</v>
      </c>
      <c r="HO38" s="14">
        <v>101.94199999999999</v>
      </c>
      <c r="HP38" s="14">
        <v>101.938</v>
      </c>
      <c r="HQ38" s="14"/>
      <c r="HR38" s="14"/>
      <c r="HS38" s="14"/>
      <c r="HT38" s="14"/>
      <c r="HU38" s="14"/>
      <c r="HV38" s="14"/>
      <c r="HW38" s="14"/>
      <c r="HX38" s="11"/>
      <c r="HY38" s="11"/>
      <c r="HZ38" s="11"/>
      <c r="IA38" s="11"/>
      <c r="IB38" s="11"/>
      <c r="IC38" s="11"/>
      <c r="ID38" s="11"/>
      <c r="IE38" s="11"/>
      <c r="IF38" s="11"/>
      <c r="IG38" s="11"/>
      <c r="IH38" s="14">
        <v>101.946</v>
      </c>
      <c r="II38" s="14">
        <v>101.93</v>
      </c>
      <c r="IJ38" s="14">
        <v>101.937</v>
      </c>
      <c r="IK38" s="14">
        <v>101.93300000000001</v>
      </c>
      <c r="IL38" s="14">
        <v>101.962</v>
      </c>
      <c r="IM38" s="14">
        <v>101.947</v>
      </c>
      <c r="IN38" s="14">
        <v>101.94</v>
      </c>
      <c r="IO38" s="14">
        <v>101.952</v>
      </c>
      <c r="IP38" s="14">
        <v>101.941</v>
      </c>
      <c r="IQ38" s="14">
        <v>101.947</v>
      </c>
      <c r="IR38" s="14">
        <v>101.947</v>
      </c>
      <c r="IS38" s="14">
        <v>101.935</v>
      </c>
      <c r="IT38" s="14">
        <v>101.94199999999999</v>
      </c>
      <c r="IU38" s="14">
        <v>101.937</v>
      </c>
      <c r="IV38" s="14">
        <v>101.949</v>
      </c>
      <c r="IW38" s="14">
        <v>101.947</v>
      </c>
      <c r="IX38" s="14">
        <v>101.953</v>
      </c>
      <c r="IY38" s="14">
        <v>101.949</v>
      </c>
      <c r="IZ38" s="14">
        <v>101.95</v>
      </c>
      <c r="JA38" s="14">
        <v>101.95099999999999</v>
      </c>
      <c r="JB38" s="14">
        <v>101.943</v>
      </c>
      <c r="JC38" s="14">
        <v>101.941</v>
      </c>
      <c r="JD38" s="14">
        <v>101.938</v>
      </c>
      <c r="JE38" s="14">
        <v>101.943</v>
      </c>
      <c r="JF38" s="14">
        <v>101.94</v>
      </c>
      <c r="JG38" s="14">
        <v>101.947</v>
      </c>
      <c r="JH38" s="14">
        <v>101.946</v>
      </c>
      <c r="JI38" s="14">
        <v>101.94799999999999</v>
      </c>
      <c r="JJ38" s="14">
        <v>101.94499999999999</v>
      </c>
      <c r="JK38" s="14">
        <v>101.943</v>
      </c>
      <c r="JL38" s="14">
        <v>101.947</v>
      </c>
      <c r="JM38" s="14">
        <v>101.955</v>
      </c>
      <c r="JN38" s="14">
        <v>101.95399999999999</v>
      </c>
      <c r="JO38" s="14">
        <v>101.956</v>
      </c>
      <c r="JP38" s="14">
        <v>101.953</v>
      </c>
      <c r="JQ38" s="14">
        <v>101.947</v>
      </c>
      <c r="JR38" s="14">
        <v>101.949</v>
      </c>
      <c r="JS38" s="14">
        <v>101.94799999999999</v>
      </c>
      <c r="JT38" s="14">
        <v>101.95</v>
      </c>
      <c r="JU38" s="14">
        <v>101.949</v>
      </c>
      <c r="JV38" s="14">
        <v>101.952</v>
      </c>
      <c r="JW38" s="14">
        <v>101.95</v>
      </c>
      <c r="JX38" s="14">
        <v>101.953</v>
      </c>
      <c r="JY38" s="14">
        <v>101.95099999999999</v>
      </c>
      <c r="JZ38" s="14">
        <v>101.95399999999999</v>
      </c>
      <c r="KA38" s="14">
        <v>101.944</v>
      </c>
      <c r="KB38" s="14">
        <v>101.94499999999999</v>
      </c>
      <c r="KC38" s="14">
        <v>101.94799999999999</v>
      </c>
      <c r="KD38" s="14">
        <v>101.947</v>
      </c>
      <c r="KE38" s="14">
        <v>101.94499999999999</v>
      </c>
      <c r="KF38" s="14">
        <v>101.955</v>
      </c>
      <c r="KG38" s="14">
        <v>101.95</v>
      </c>
      <c r="KH38" s="14">
        <v>101.953</v>
      </c>
      <c r="KI38" s="14">
        <v>101.959</v>
      </c>
      <c r="KJ38" s="14">
        <v>101.95699999999999</v>
      </c>
      <c r="KK38" s="14">
        <v>101.95399999999999</v>
      </c>
      <c r="KL38" s="14">
        <v>101.95099999999999</v>
      </c>
      <c r="KM38" s="14">
        <v>101.959</v>
      </c>
      <c r="KN38" s="14">
        <v>101.953</v>
      </c>
      <c r="KO38" s="14">
        <v>101.955</v>
      </c>
      <c r="KP38" s="14"/>
      <c r="KQ38" s="14"/>
      <c r="KR38" s="14"/>
      <c r="KS38" s="14"/>
      <c r="KT38" s="14"/>
      <c r="KU38" s="14"/>
      <c r="KV38" s="14"/>
      <c r="KW38" s="14"/>
      <c r="KX38" s="14"/>
      <c r="KY38" s="14"/>
      <c r="KZ38" s="14"/>
      <c r="LA38" s="14"/>
      <c r="LB38" s="14"/>
      <c r="LC38" s="14"/>
      <c r="LD38" s="14"/>
      <c r="LE38" s="14"/>
      <c r="LF38" s="14"/>
      <c r="LG38" s="14"/>
      <c r="LH38" s="14"/>
      <c r="LI38" s="14"/>
      <c r="LJ38" s="12">
        <f t="shared" si="2"/>
        <v>25</v>
      </c>
      <c r="LK38" s="6">
        <f t="shared" si="3"/>
        <v>101.93232000000002</v>
      </c>
      <c r="LL38" s="2">
        <f t="shared" si="4"/>
        <v>8.409256804260358E-2</v>
      </c>
      <c r="LM38" s="7">
        <f t="shared" si="5"/>
        <v>7.1349943754369163E-2</v>
      </c>
      <c r="LN38" s="7">
        <f t="shared" si="6"/>
        <v>0.12557590100760635</v>
      </c>
      <c r="LO38" s="7">
        <f t="shared" si="8"/>
        <v>1.7123986501131967E-2</v>
      </c>
      <c r="LP38" s="7">
        <f>MIN(LN38:LO38)</f>
        <v>1.7123986501131967E-2</v>
      </c>
    </row>
    <row r="39" spans="1:328" ht="30" customHeight="1">
      <c r="A39" s="2" t="s">
        <v>48</v>
      </c>
      <c r="B39" s="2" t="s">
        <v>53</v>
      </c>
      <c r="C39" s="2" t="s">
        <v>54</v>
      </c>
      <c r="D39" s="2" t="s">
        <v>33</v>
      </c>
      <c r="E39" s="5">
        <v>36.473999999999997</v>
      </c>
      <c r="F39" s="5">
        <v>36.448999999999998</v>
      </c>
      <c r="G39" s="5">
        <f t="shared" si="1"/>
        <v>36.461500000000001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>
        <v>36.470999999999997</v>
      </c>
      <c r="AC39" s="5">
        <v>36.468000000000004</v>
      </c>
      <c r="AD39" s="5">
        <v>36.472000000000001</v>
      </c>
      <c r="AE39" s="5">
        <v>36.459000000000003</v>
      </c>
      <c r="AF39" s="5">
        <v>36.463000000000001</v>
      </c>
      <c r="AG39" s="5">
        <v>36.463999999999999</v>
      </c>
      <c r="AH39" s="5">
        <v>36.47</v>
      </c>
      <c r="AI39" s="5">
        <v>36.465000000000003</v>
      </c>
      <c r="AJ39" s="5">
        <v>36.466000000000001</v>
      </c>
      <c r="AK39" s="5">
        <v>36.470999999999997</v>
      </c>
      <c r="AL39" s="5">
        <v>36.466999999999999</v>
      </c>
      <c r="AM39" s="5">
        <v>36.451999999999998</v>
      </c>
      <c r="AN39" s="5">
        <v>36.454999999999998</v>
      </c>
      <c r="AO39" s="5">
        <v>36.456000000000003</v>
      </c>
      <c r="AP39" s="5">
        <v>36.469000000000001</v>
      </c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36.472000000000001</v>
      </c>
      <c r="BB39" s="5">
        <v>36.459000000000003</v>
      </c>
      <c r="BC39" s="5">
        <v>36.465000000000003</v>
      </c>
      <c r="BD39" s="5">
        <v>36.463000000000001</v>
      </c>
      <c r="BE39" s="5">
        <v>36.470999999999997</v>
      </c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>
        <v>36.457999999999998</v>
      </c>
      <c r="BV39" s="5">
        <v>36.459000000000003</v>
      </c>
      <c r="BW39" s="5">
        <v>36.456000000000003</v>
      </c>
      <c r="BX39" s="5">
        <v>36.451999999999998</v>
      </c>
      <c r="BY39" s="5">
        <v>36.46</v>
      </c>
      <c r="BZ39" s="5">
        <v>36.463999999999999</v>
      </c>
      <c r="CA39" s="5">
        <v>36.462000000000003</v>
      </c>
      <c r="CB39" s="5">
        <v>36.463000000000001</v>
      </c>
      <c r="CC39" s="5">
        <v>36.465000000000003</v>
      </c>
      <c r="CD39" s="5">
        <v>36.459000000000003</v>
      </c>
      <c r="CE39" s="5">
        <v>36.46</v>
      </c>
      <c r="CF39" s="5">
        <v>36.463999999999999</v>
      </c>
      <c r="CG39" s="5">
        <v>36.460999999999999</v>
      </c>
      <c r="CH39" s="5">
        <v>36.459000000000003</v>
      </c>
      <c r="CI39" s="5">
        <v>36.46</v>
      </c>
      <c r="CJ39" s="5">
        <v>36.472000000000001</v>
      </c>
      <c r="CK39" s="5">
        <v>36.470999999999997</v>
      </c>
      <c r="CL39" s="5">
        <v>36.470999999999997</v>
      </c>
      <c r="CM39" s="5">
        <v>36.47</v>
      </c>
      <c r="CN39" s="5">
        <v>36.472000000000001</v>
      </c>
      <c r="CO39" s="5"/>
      <c r="CP39" s="5"/>
      <c r="CQ39" s="5"/>
      <c r="CR39" s="5"/>
      <c r="CS39" s="5"/>
      <c r="CT39" s="5">
        <v>36.462000000000003</v>
      </c>
      <c r="CU39" s="5">
        <v>36.465000000000003</v>
      </c>
      <c r="CV39" s="5">
        <v>36.463000000000001</v>
      </c>
      <c r="CW39" s="5">
        <v>36.466999999999999</v>
      </c>
      <c r="CX39" s="5">
        <v>36.47</v>
      </c>
      <c r="CY39" s="5">
        <v>36.470999999999997</v>
      </c>
      <c r="CZ39" s="5">
        <v>36.466000000000001</v>
      </c>
      <c r="DA39" s="5">
        <v>36.468000000000004</v>
      </c>
      <c r="DB39" s="5">
        <v>36.468000000000004</v>
      </c>
      <c r="DC39" s="5">
        <v>36.470999999999997</v>
      </c>
      <c r="DD39" s="5">
        <v>36.46</v>
      </c>
      <c r="DE39" s="5">
        <v>36.459000000000003</v>
      </c>
      <c r="DF39" s="5">
        <v>36.457999999999998</v>
      </c>
      <c r="DG39" s="5">
        <v>36.463000000000001</v>
      </c>
      <c r="DH39" s="5">
        <v>36.460999999999999</v>
      </c>
      <c r="DI39" s="5">
        <v>36.466000000000001</v>
      </c>
      <c r="DJ39" s="5">
        <v>36.465000000000003</v>
      </c>
      <c r="DK39" s="5">
        <v>36.468000000000004</v>
      </c>
      <c r="DL39" s="5">
        <v>36.463999999999999</v>
      </c>
      <c r="DM39" s="5">
        <v>36.463999999999999</v>
      </c>
      <c r="DN39" s="5">
        <v>36.463999999999999</v>
      </c>
      <c r="DO39" s="5">
        <v>36.465000000000003</v>
      </c>
      <c r="DP39" s="5">
        <v>36.466999999999999</v>
      </c>
      <c r="DQ39" s="5">
        <v>36.945</v>
      </c>
      <c r="DR39" s="5">
        <v>36.465000000000003</v>
      </c>
      <c r="DS39" s="5">
        <v>36.469000000000001</v>
      </c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>
        <v>36.470999999999997</v>
      </c>
      <c r="HI39" s="5">
        <v>36.463999999999999</v>
      </c>
      <c r="HJ39" s="5">
        <v>36.466999999999999</v>
      </c>
      <c r="HK39" s="5">
        <v>36.472000000000001</v>
      </c>
      <c r="HL39" s="5">
        <v>36.453000000000003</v>
      </c>
      <c r="HM39" s="13">
        <v>36.456000000000003</v>
      </c>
      <c r="HN39" s="14">
        <v>36.460999999999999</v>
      </c>
      <c r="HO39" s="14">
        <v>36.463000000000001</v>
      </c>
      <c r="HP39" s="14">
        <v>36.453000000000003</v>
      </c>
      <c r="HQ39" s="14"/>
      <c r="HR39" s="14"/>
      <c r="HS39" s="14"/>
      <c r="HT39" s="14"/>
      <c r="HU39" s="14"/>
      <c r="HV39" s="14"/>
      <c r="HW39" s="14"/>
      <c r="HX39" s="11"/>
      <c r="HY39" s="11"/>
      <c r="HZ39" s="11"/>
      <c r="IA39" s="11"/>
      <c r="IB39" s="11"/>
      <c r="IC39" s="11"/>
      <c r="ID39" s="11"/>
      <c r="IE39" s="11"/>
      <c r="IF39" s="11"/>
      <c r="IG39" s="11"/>
      <c r="IH39" s="14">
        <v>36.456000000000003</v>
      </c>
      <c r="II39" s="14">
        <v>36.476999999999997</v>
      </c>
      <c r="IJ39" s="14">
        <v>36.463000000000001</v>
      </c>
      <c r="IK39" s="14">
        <v>36.484999999999999</v>
      </c>
      <c r="IL39" s="14">
        <v>36.462000000000003</v>
      </c>
      <c r="IM39" s="14">
        <v>36.46</v>
      </c>
      <c r="IN39" s="14">
        <v>36.463000000000001</v>
      </c>
      <c r="IO39" s="14">
        <v>36.46</v>
      </c>
      <c r="IP39" s="14">
        <v>36.462000000000003</v>
      </c>
      <c r="IQ39" s="14">
        <v>36.472000000000001</v>
      </c>
      <c r="IR39" s="14">
        <v>36.459000000000003</v>
      </c>
      <c r="IS39" s="14">
        <v>36.457000000000001</v>
      </c>
      <c r="IT39" s="14">
        <v>36.454999999999998</v>
      </c>
      <c r="IU39" s="14">
        <v>36.465000000000003</v>
      </c>
      <c r="IV39" s="14">
        <v>36.462000000000003</v>
      </c>
      <c r="IW39" s="14">
        <v>36.453000000000003</v>
      </c>
      <c r="IX39" s="14">
        <v>36.451999999999998</v>
      </c>
      <c r="IY39" s="14">
        <v>36.457999999999998</v>
      </c>
      <c r="IZ39" s="14">
        <v>36.463000000000001</v>
      </c>
      <c r="JA39" s="14">
        <v>36.451999999999998</v>
      </c>
      <c r="JB39" s="14">
        <v>36.465000000000003</v>
      </c>
      <c r="JC39" s="14">
        <v>36.466999999999999</v>
      </c>
      <c r="JD39" s="14">
        <v>36.465000000000003</v>
      </c>
      <c r="JE39" s="14">
        <v>36.470999999999997</v>
      </c>
      <c r="JF39" s="14">
        <v>36.469000000000001</v>
      </c>
      <c r="JG39" s="14">
        <v>36.47</v>
      </c>
      <c r="JH39" s="14">
        <v>36.472000000000001</v>
      </c>
      <c r="JI39" s="14">
        <v>36.469000000000001</v>
      </c>
      <c r="JJ39" s="14">
        <v>36.472999999999999</v>
      </c>
      <c r="JK39" s="14">
        <v>36.470999999999997</v>
      </c>
      <c r="JL39" s="14">
        <v>36.465000000000003</v>
      </c>
      <c r="JM39" s="14">
        <v>36.463999999999999</v>
      </c>
      <c r="JN39" s="14">
        <v>36.463000000000001</v>
      </c>
      <c r="JO39" s="14">
        <v>36.466000000000001</v>
      </c>
      <c r="JP39" s="14">
        <v>36.463000000000001</v>
      </c>
      <c r="JQ39" s="14">
        <v>36.463999999999999</v>
      </c>
      <c r="JR39" s="14">
        <v>36.466000000000001</v>
      </c>
      <c r="JS39" s="14">
        <v>36.463000000000001</v>
      </c>
      <c r="JT39" s="14">
        <v>36.465000000000003</v>
      </c>
      <c r="JU39" s="14">
        <v>36.466999999999999</v>
      </c>
      <c r="JV39" s="14">
        <v>36.454999999999998</v>
      </c>
      <c r="JW39" s="14">
        <v>36.457999999999998</v>
      </c>
      <c r="JX39" s="14">
        <v>36.456000000000003</v>
      </c>
      <c r="JY39" s="14">
        <v>36.46</v>
      </c>
      <c r="JZ39" s="14">
        <v>36.460999999999999</v>
      </c>
      <c r="KA39" s="14">
        <v>36.466000000000001</v>
      </c>
      <c r="KB39" s="14">
        <v>36.466999999999999</v>
      </c>
      <c r="KC39" s="14">
        <v>36.465000000000003</v>
      </c>
      <c r="KD39" s="14">
        <v>36.463000000000001</v>
      </c>
      <c r="KE39" s="14">
        <v>36.463999999999999</v>
      </c>
      <c r="KF39" s="14">
        <v>36.466999999999999</v>
      </c>
      <c r="KG39" s="14">
        <v>36.465000000000003</v>
      </c>
      <c r="KH39" s="14">
        <v>36.469000000000001</v>
      </c>
      <c r="KI39" s="14">
        <v>36.463999999999999</v>
      </c>
      <c r="KJ39" s="14">
        <v>36.46</v>
      </c>
      <c r="KK39" s="14">
        <v>36.46</v>
      </c>
      <c r="KL39" s="14">
        <v>36.457000000000001</v>
      </c>
      <c r="KM39" s="14">
        <v>36.459000000000003</v>
      </c>
      <c r="KN39" s="14">
        <v>36.457999999999998</v>
      </c>
      <c r="KO39" s="14">
        <v>36.457000000000001</v>
      </c>
      <c r="KP39" s="14"/>
      <c r="KQ39" s="14"/>
      <c r="KR39" s="14"/>
      <c r="KS39" s="14"/>
      <c r="KT39" s="14"/>
      <c r="KU39" s="14"/>
      <c r="KV39" s="14"/>
      <c r="KW39" s="14"/>
      <c r="KX39" s="14"/>
      <c r="KY39" s="14"/>
      <c r="KZ39" s="14"/>
      <c r="LA39" s="14"/>
      <c r="LB39" s="14"/>
      <c r="LC39" s="14"/>
      <c r="LD39" s="14"/>
      <c r="LE39" s="14"/>
      <c r="LF39" s="14"/>
      <c r="LG39" s="14"/>
      <c r="LH39" s="14"/>
      <c r="LI39" s="14"/>
      <c r="LJ39" s="12">
        <f t="shared" si="2"/>
        <v>25</v>
      </c>
      <c r="LK39" s="6">
        <f t="shared" si="3"/>
        <v>36.461840000000002</v>
      </c>
      <c r="LL39" s="2">
        <f t="shared" si="4"/>
        <v>6.0668498140847736E-3</v>
      </c>
      <c r="LM39" s="7">
        <f t="shared" si="5"/>
        <v>0.68679245314316395</v>
      </c>
      <c r="LN39" s="7">
        <f t="shared" si="6"/>
        <v>0.66811169841740004</v>
      </c>
      <c r="LO39" s="7">
        <f t="shared" si="8"/>
        <v>0.70547320786892787</v>
      </c>
      <c r="LP39" s="7">
        <f>MIN(LN39:LO39)</f>
        <v>0.66811169841740004</v>
      </c>
    </row>
    <row r="40" spans="1:328" ht="30" customHeight="1">
      <c r="A40" s="2" t="s">
        <v>48</v>
      </c>
      <c r="B40" s="2" t="s">
        <v>53</v>
      </c>
      <c r="C40" s="2" t="s">
        <v>56</v>
      </c>
      <c r="D40" s="2" t="s">
        <v>55</v>
      </c>
      <c r="E40" s="5">
        <v>101.964</v>
      </c>
      <c r="F40" s="5">
        <v>101.928</v>
      </c>
      <c r="G40" s="5">
        <f t="shared" si="1"/>
        <v>101.946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>
        <v>101.952</v>
      </c>
      <c r="AC40" s="5">
        <v>101.946</v>
      </c>
      <c r="AD40" s="5">
        <v>101.949</v>
      </c>
      <c r="AE40" s="5">
        <v>101.955</v>
      </c>
      <c r="AF40" s="5">
        <v>101.96</v>
      </c>
      <c r="AG40" s="5">
        <v>101.953</v>
      </c>
      <c r="AH40" s="5">
        <v>101.94499999999999</v>
      </c>
      <c r="AI40" s="5">
        <v>101.944</v>
      </c>
      <c r="AJ40" s="5">
        <v>101.95399999999999</v>
      </c>
      <c r="AK40" s="5">
        <v>101.53</v>
      </c>
      <c r="AL40" s="5">
        <v>101.953</v>
      </c>
      <c r="AM40" s="5">
        <v>101.949</v>
      </c>
      <c r="AN40" s="5">
        <v>101.934</v>
      </c>
      <c r="AO40" s="5">
        <v>101.93899999999999</v>
      </c>
      <c r="AP40" s="5">
        <v>101.959</v>
      </c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>
        <v>101.946</v>
      </c>
      <c r="BB40" s="5">
        <v>101.959</v>
      </c>
      <c r="BC40" s="5">
        <v>101.955</v>
      </c>
      <c r="BD40" s="5">
        <v>101.96</v>
      </c>
      <c r="BE40" s="5">
        <v>101.94799999999999</v>
      </c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>
        <v>101.944</v>
      </c>
      <c r="CA40" s="5">
        <v>101.943</v>
      </c>
      <c r="CB40" s="5">
        <v>101.944</v>
      </c>
      <c r="CC40" s="5">
        <v>101.944</v>
      </c>
      <c r="CD40" s="5">
        <v>101.943</v>
      </c>
      <c r="CE40" s="5">
        <v>101.947</v>
      </c>
      <c r="CF40" s="5">
        <v>101.943</v>
      </c>
      <c r="CG40" s="5">
        <v>101.941</v>
      </c>
      <c r="CH40" s="5">
        <v>101.946</v>
      </c>
      <c r="CI40" s="5">
        <v>101.943</v>
      </c>
      <c r="CJ40" s="5">
        <v>101.937</v>
      </c>
      <c r="CK40" s="5">
        <v>101.935</v>
      </c>
      <c r="CL40" s="5">
        <v>101.938</v>
      </c>
      <c r="CM40" s="5">
        <v>101.93300000000001</v>
      </c>
      <c r="CN40" s="5">
        <v>101.934</v>
      </c>
      <c r="CO40" s="5"/>
      <c r="CP40" s="5"/>
      <c r="CQ40" s="5"/>
      <c r="CR40" s="5"/>
      <c r="CS40" s="5"/>
      <c r="CT40" s="5">
        <v>101.953</v>
      </c>
      <c r="CU40" s="5">
        <v>101.958</v>
      </c>
      <c r="CV40" s="5">
        <v>101.955</v>
      </c>
      <c r="CW40" s="5">
        <v>101.947</v>
      </c>
      <c r="CX40" s="5">
        <v>101.95099999999999</v>
      </c>
      <c r="CY40" s="5">
        <v>101.955</v>
      </c>
      <c r="CZ40" s="5">
        <v>101.958</v>
      </c>
      <c r="DA40" s="5">
        <v>101.949</v>
      </c>
      <c r="DB40" s="5">
        <v>101.95</v>
      </c>
      <c r="DC40" s="5">
        <v>101.95399999999999</v>
      </c>
      <c r="DD40" s="5">
        <v>101.943</v>
      </c>
      <c r="DE40" s="5">
        <v>101.947</v>
      </c>
      <c r="DF40" s="5">
        <v>101.94499999999999</v>
      </c>
      <c r="DG40" s="5">
        <v>101.94499999999999</v>
      </c>
      <c r="DH40" s="5">
        <v>101.95</v>
      </c>
      <c r="DI40" s="5">
        <v>101.944</v>
      </c>
      <c r="DJ40" s="5">
        <v>101.944</v>
      </c>
      <c r="DK40" s="5">
        <v>101.947</v>
      </c>
      <c r="DL40" s="5">
        <v>101.94499999999999</v>
      </c>
      <c r="DM40" s="5">
        <v>101.944</v>
      </c>
      <c r="DN40" s="5">
        <v>101.949</v>
      </c>
      <c r="DO40" s="5">
        <v>101.958</v>
      </c>
      <c r="DP40" s="5">
        <v>101.952</v>
      </c>
      <c r="DQ40" s="5">
        <v>101.94799999999999</v>
      </c>
      <c r="DR40" s="5">
        <v>101.93899999999999</v>
      </c>
      <c r="DS40" s="5">
        <v>101.949</v>
      </c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>
        <v>101.956</v>
      </c>
      <c r="HI40" s="5">
        <v>101.95099999999999</v>
      </c>
      <c r="HJ40" s="5">
        <v>101.95</v>
      </c>
      <c r="HK40" s="5">
        <v>101.95699999999999</v>
      </c>
      <c r="HL40" s="5">
        <v>101.943</v>
      </c>
      <c r="HM40" s="13">
        <v>101.94199999999999</v>
      </c>
      <c r="HN40" s="14">
        <v>101.941</v>
      </c>
      <c r="HO40" s="14">
        <v>101.943</v>
      </c>
      <c r="HP40" s="14">
        <v>101.947</v>
      </c>
      <c r="HQ40" s="14"/>
      <c r="HR40" s="14"/>
      <c r="HS40" s="14"/>
      <c r="HT40" s="14"/>
      <c r="HU40" s="14"/>
      <c r="HV40" s="14"/>
      <c r="HW40" s="14"/>
      <c r="HX40" s="11"/>
      <c r="HY40" s="11"/>
      <c r="HZ40" s="11"/>
      <c r="IA40" s="11"/>
      <c r="IB40" s="11"/>
      <c r="IC40" s="11"/>
      <c r="ID40" s="11"/>
      <c r="IE40" s="11"/>
      <c r="IF40" s="11"/>
      <c r="IG40" s="11"/>
      <c r="IH40" s="14">
        <v>101.935</v>
      </c>
      <c r="II40" s="14">
        <v>101.94199999999999</v>
      </c>
      <c r="IJ40" s="14">
        <v>101.947</v>
      </c>
      <c r="IK40" s="14">
        <v>101.949</v>
      </c>
      <c r="IL40" s="14">
        <v>101.95</v>
      </c>
      <c r="IM40" s="14">
        <v>101.93899999999999</v>
      </c>
      <c r="IN40" s="14">
        <v>101.955</v>
      </c>
      <c r="IO40" s="14">
        <v>101.947</v>
      </c>
      <c r="IP40" s="14">
        <v>101.956</v>
      </c>
      <c r="IQ40" s="14">
        <v>101.949</v>
      </c>
      <c r="IR40" s="14">
        <v>101.949</v>
      </c>
      <c r="IS40" s="14">
        <v>101.937</v>
      </c>
      <c r="IT40" s="14">
        <v>101.943</v>
      </c>
      <c r="IU40" s="14">
        <v>101.935</v>
      </c>
      <c r="IV40" s="14">
        <v>101.947</v>
      </c>
      <c r="IW40" s="14">
        <v>101.94799999999999</v>
      </c>
      <c r="IX40" s="14">
        <v>101.944</v>
      </c>
      <c r="IY40" s="14">
        <v>101.943</v>
      </c>
      <c r="IZ40" s="14">
        <v>101.947</v>
      </c>
      <c r="JA40" s="14">
        <v>101.94499999999999</v>
      </c>
      <c r="JB40" s="14">
        <v>101.94499999999999</v>
      </c>
      <c r="JC40" s="14">
        <v>101.93899999999999</v>
      </c>
      <c r="JD40" s="14">
        <v>101.938</v>
      </c>
      <c r="JE40" s="14">
        <v>101.944</v>
      </c>
      <c r="JF40" s="14">
        <v>101.943</v>
      </c>
      <c r="JG40" s="14">
        <v>101.947</v>
      </c>
      <c r="JH40" s="14">
        <v>101.946</v>
      </c>
      <c r="JI40" s="14">
        <v>101.943</v>
      </c>
      <c r="JJ40" s="14">
        <v>101.94499999999999</v>
      </c>
      <c r="JK40" s="14">
        <v>101.944</v>
      </c>
      <c r="JL40" s="14">
        <v>101.953</v>
      </c>
      <c r="JM40" s="14">
        <v>101.956</v>
      </c>
      <c r="JN40" s="14">
        <v>101.955</v>
      </c>
      <c r="JO40" s="14">
        <v>101.95099999999999</v>
      </c>
      <c r="JP40" s="14">
        <v>101.95399999999999</v>
      </c>
      <c r="JQ40" s="14">
        <v>101.946</v>
      </c>
      <c r="JR40" s="14">
        <v>101.943</v>
      </c>
      <c r="JS40" s="14">
        <v>101.94499999999999</v>
      </c>
      <c r="JT40" s="14">
        <v>101.947</v>
      </c>
      <c r="JU40" s="14">
        <v>101.94499999999999</v>
      </c>
      <c r="JV40" s="14">
        <v>101.953</v>
      </c>
      <c r="JW40" s="14">
        <v>101.955</v>
      </c>
      <c r="JX40" s="14">
        <v>101.95399999999999</v>
      </c>
      <c r="JY40" s="14">
        <v>101.95</v>
      </c>
      <c r="JZ40" s="14">
        <v>101.95699999999999</v>
      </c>
      <c r="KA40" s="14">
        <v>101.953</v>
      </c>
      <c r="KB40" s="14">
        <v>101.955</v>
      </c>
      <c r="KC40" s="14">
        <v>101.956</v>
      </c>
      <c r="KD40" s="14">
        <v>101.952</v>
      </c>
      <c r="KE40" s="14">
        <v>101.95399999999999</v>
      </c>
      <c r="KF40" s="14">
        <v>101.96599999999999</v>
      </c>
      <c r="KG40" s="14">
        <v>101.952</v>
      </c>
      <c r="KH40" s="14">
        <v>101.955</v>
      </c>
      <c r="KI40" s="14">
        <v>101.952</v>
      </c>
      <c r="KJ40" s="14">
        <v>101.958</v>
      </c>
      <c r="KK40" s="14">
        <v>101.959</v>
      </c>
      <c r="KL40" s="14">
        <v>101.955</v>
      </c>
      <c r="KM40" s="14">
        <v>101.95399999999999</v>
      </c>
      <c r="KN40" s="14">
        <v>101.95699999999999</v>
      </c>
      <c r="KO40" s="14">
        <v>101.956</v>
      </c>
      <c r="KP40" s="14"/>
      <c r="KQ40" s="14"/>
      <c r="KR40" s="14"/>
      <c r="KS40" s="14"/>
      <c r="KT40" s="14"/>
      <c r="KU40" s="14"/>
      <c r="KV40" s="14"/>
      <c r="KW40" s="14"/>
      <c r="KX40" s="14"/>
      <c r="KY40" s="14"/>
      <c r="KZ40" s="14"/>
      <c r="LA40" s="14"/>
      <c r="LB40" s="14"/>
      <c r="LC40" s="14"/>
      <c r="LD40" s="14"/>
      <c r="LE40" s="14"/>
      <c r="LF40" s="14"/>
      <c r="LG40" s="14"/>
      <c r="LH40" s="14"/>
      <c r="LI40" s="14"/>
      <c r="LJ40" s="12">
        <f t="shared" si="2"/>
        <v>20</v>
      </c>
      <c r="LK40" s="6">
        <f t="shared" si="3"/>
        <v>29.955599999999997</v>
      </c>
      <c r="LL40" s="2">
        <f t="shared" si="4"/>
        <v>5.6976449428454441E-3</v>
      </c>
      <c r="LM40" s="7">
        <f t="shared" si="5"/>
        <v>0.49728148414917839</v>
      </c>
      <c r="LN40" s="7">
        <f t="shared" si="6"/>
        <v>0.54993481776516451</v>
      </c>
      <c r="LO40" s="7">
        <f t="shared" si="8"/>
        <v>0.44462815053319227</v>
      </c>
      <c r="LP40" s="7">
        <f t="shared" si="0"/>
        <v>0.44462815053319227</v>
      </c>
    </row>
    <row r="41" spans="1:328" ht="30" customHeight="1">
      <c r="A41" s="2" t="s">
        <v>48</v>
      </c>
      <c r="B41" s="2" t="s">
        <v>53</v>
      </c>
      <c r="C41" s="2" t="s">
        <v>56</v>
      </c>
      <c r="D41" s="2" t="s">
        <v>33</v>
      </c>
      <c r="E41" s="5">
        <v>36.473999999999997</v>
      </c>
      <c r="F41" s="5">
        <v>36.448999999999998</v>
      </c>
      <c r="G41" s="5">
        <f t="shared" si="1"/>
        <v>36.461500000000001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>
        <v>36.457999999999998</v>
      </c>
      <c r="AC41" s="5">
        <v>36.47</v>
      </c>
      <c r="AD41" s="5">
        <v>36.465000000000003</v>
      </c>
      <c r="AE41" s="5">
        <v>36.468000000000004</v>
      </c>
      <c r="AF41" s="5">
        <v>36.466999999999999</v>
      </c>
      <c r="AG41" s="5">
        <v>36.456000000000003</v>
      </c>
      <c r="AH41" s="5">
        <v>36.453000000000003</v>
      </c>
      <c r="AI41" s="5">
        <v>36.451000000000001</v>
      </c>
      <c r="AJ41" s="5">
        <v>36.469000000000001</v>
      </c>
      <c r="AK41" s="5">
        <v>36.457999999999998</v>
      </c>
      <c r="AL41" s="5">
        <v>36.454000000000001</v>
      </c>
      <c r="AM41" s="5">
        <v>36.459000000000003</v>
      </c>
      <c r="AN41" s="5">
        <v>36.460999999999999</v>
      </c>
      <c r="AO41" s="5">
        <v>36.454999999999998</v>
      </c>
      <c r="AP41" s="5">
        <v>36.469000000000001</v>
      </c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>
        <v>36.456000000000003</v>
      </c>
      <c r="BB41" s="5">
        <v>36.46</v>
      </c>
      <c r="BC41" s="5">
        <v>36.47</v>
      </c>
      <c r="BD41" s="5">
        <v>36.473999999999997</v>
      </c>
      <c r="BE41" s="5">
        <v>36.463999999999999</v>
      </c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>
        <v>36.463000000000001</v>
      </c>
      <c r="CA41" s="5">
        <v>36.46</v>
      </c>
      <c r="CB41" s="5">
        <v>36.460999999999999</v>
      </c>
      <c r="CC41" s="5">
        <v>36.463000000000001</v>
      </c>
      <c r="CD41" s="5">
        <v>36.462000000000003</v>
      </c>
      <c r="CE41" s="5">
        <v>36.460999999999999</v>
      </c>
      <c r="CF41" s="5">
        <v>36.463000000000001</v>
      </c>
      <c r="CG41" s="5">
        <v>36.466000000000001</v>
      </c>
      <c r="CH41" s="5">
        <v>36.462000000000003</v>
      </c>
      <c r="CI41" s="5">
        <v>36.460999999999999</v>
      </c>
      <c r="CJ41" s="5">
        <v>36.642000000000003</v>
      </c>
      <c r="CK41" s="5">
        <v>36.463999999999999</v>
      </c>
      <c r="CL41" s="5">
        <v>36.463000000000001</v>
      </c>
      <c r="CM41" s="5">
        <v>36.646000000000001</v>
      </c>
      <c r="CN41" s="5">
        <v>36.462000000000003</v>
      </c>
      <c r="CO41" s="5"/>
      <c r="CP41" s="5"/>
      <c r="CQ41" s="5"/>
      <c r="CR41" s="5"/>
      <c r="CS41" s="5"/>
      <c r="CT41" s="5">
        <v>36.454999999999998</v>
      </c>
      <c r="CU41" s="5">
        <v>36.459000000000003</v>
      </c>
      <c r="CV41" s="5">
        <v>36.460999999999999</v>
      </c>
      <c r="CW41" s="5">
        <v>36.463000000000001</v>
      </c>
      <c r="CX41" s="5">
        <v>36.457000000000001</v>
      </c>
      <c r="CY41" s="5">
        <v>36.456000000000003</v>
      </c>
      <c r="CZ41" s="5">
        <v>36.46</v>
      </c>
      <c r="DA41" s="5">
        <v>36.459000000000003</v>
      </c>
      <c r="DB41" s="5">
        <v>36.457000000000001</v>
      </c>
      <c r="DC41" s="5">
        <v>36.47</v>
      </c>
      <c r="DD41" s="5">
        <v>36.463000000000001</v>
      </c>
      <c r="DE41" s="5">
        <v>36.460999999999999</v>
      </c>
      <c r="DF41" s="5">
        <v>36.459000000000003</v>
      </c>
      <c r="DG41" s="5">
        <v>36.457000000000001</v>
      </c>
      <c r="DH41" s="5">
        <v>36.463000000000001</v>
      </c>
      <c r="DI41" s="5">
        <v>36.456000000000003</v>
      </c>
      <c r="DJ41" s="5">
        <v>36.46</v>
      </c>
      <c r="DK41" s="5">
        <v>36.454999999999998</v>
      </c>
      <c r="DL41" s="5">
        <v>36.457000000000001</v>
      </c>
      <c r="DM41" s="5">
        <v>36.457999999999998</v>
      </c>
      <c r="DN41" s="5">
        <v>36.466000000000001</v>
      </c>
      <c r="DO41" s="5">
        <v>36.463999999999999</v>
      </c>
      <c r="DP41" s="5">
        <v>36.466000000000001</v>
      </c>
      <c r="DQ41" s="5">
        <v>36.463000000000001</v>
      </c>
      <c r="DR41" s="5">
        <v>36.460999999999999</v>
      </c>
      <c r="DS41" s="5">
        <v>36.463000000000001</v>
      </c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>
        <v>36.466000000000001</v>
      </c>
      <c r="HI41" s="5">
        <v>36.460999999999999</v>
      </c>
      <c r="HJ41" s="5">
        <v>36.454999999999998</v>
      </c>
      <c r="HK41" s="5">
        <v>36.463999999999999</v>
      </c>
      <c r="HL41" s="5">
        <v>36.953000000000003</v>
      </c>
      <c r="HM41" s="13">
        <v>36.945399999999999</v>
      </c>
      <c r="HN41" s="14">
        <v>36.460999999999999</v>
      </c>
      <c r="HO41" s="14">
        <v>36.457000000000001</v>
      </c>
      <c r="HP41" s="14">
        <v>36.454999999999998</v>
      </c>
      <c r="HQ41" s="14"/>
      <c r="HR41" s="14"/>
      <c r="HS41" s="14"/>
      <c r="HT41" s="14"/>
      <c r="HU41" s="14"/>
      <c r="HV41" s="14"/>
      <c r="HW41" s="14"/>
      <c r="HX41" s="11"/>
      <c r="HY41" s="11"/>
      <c r="HZ41" s="11"/>
      <c r="IA41" s="11"/>
      <c r="IB41" s="11"/>
      <c r="IC41" s="11"/>
      <c r="ID41" s="11"/>
      <c r="IE41" s="11"/>
      <c r="IF41" s="11"/>
      <c r="IG41" s="11"/>
      <c r="IH41" s="14">
        <v>36.456000000000003</v>
      </c>
      <c r="II41" s="14">
        <v>36.457000000000001</v>
      </c>
      <c r="IJ41" s="14">
        <v>36.462000000000003</v>
      </c>
      <c r="IK41" s="14">
        <v>36.460999999999999</v>
      </c>
      <c r="IL41" s="14">
        <v>36.481000000000002</v>
      </c>
      <c r="IM41" s="14">
        <v>36.460999999999999</v>
      </c>
      <c r="IN41" s="14">
        <v>36.47</v>
      </c>
      <c r="IO41" s="14">
        <v>36.466000000000001</v>
      </c>
      <c r="IP41" s="14">
        <v>36.469000000000001</v>
      </c>
      <c r="IQ41" s="14">
        <v>36.468000000000004</v>
      </c>
      <c r="IR41" s="14">
        <v>36.451999999999998</v>
      </c>
      <c r="IS41" s="14">
        <v>36.484999999999999</v>
      </c>
      <c r="IT41" s="14">
        <v>36.493000000000002</v>
      </c>
      <c r="IU41" s="14">
        <v>36.469000000000001</v>
      </c>
      <c r="IV41" s="14">
        <v>36.459000000000003</v>
      </c>
      <c r="IW41" s="14">
        <v>36.454000000000001</v>
      </c>
      <c r="IX41" s="14">
        <v>36.460999999999999</v>
      </c>
      <c r="IY41" s="14">
        <v>26.457000000000001</v>
      </c>
      <c r="IZ41" s="14">
        <v>26.454999999999998</v>
      </c>
      <c r="JA41" s="14">
        <v>36.460999999999999</v>
      </c>
      <c r="JB41" s="14">
        <v>36.463000000000001</v>
      </c>
      <c r="JC41" s="14">
        <v>36.468000000000004</v>
      </c>
      <c r="JD41" s="14">
        <v>36.465000000000003</v>
      </c>
      <c r="JE41" s="14">
        <v>36.466999999999999</v>
      </c>
      <c r="JF41" s="14">
        <v>36.465000000000003</v>
      </c>
      <c r="JG41" s="14">
        <v>36.466999999999999</v>
      </c>
      <c r="JH41" s="14">
        <v>36.466000000000001</v>
      </c>
      <c r="JI41" s="14">
        <v>36.465000000000003</v>
      </c>
      <c r="JJ41" s="14">
        <v>36.468000000000004</v>
      </c>
      <c r="JK41" s="14">
        <v>36.463999999999999</v>
      </c>
      <c r="JL41" s="14">
        <v>36.465000000000003</v>
      </c>
      <c r="JM41" s="14">
        <v>36.466000000000001</v>
      </c>
      <c r="JN41" s="14">
        <v>36.463000000000001</v>
      </c>
      <c r="JO41" s="14">
        <v>36.463999999999999</v>
      </c>
      <c r="JP41" s="14">
        <v>36.466000000000001</v>
      </c>
      <c r="JQ41" s="14">
        <v>36.457999999999998</v>
      </c>
      <c r="JR41" s="14">
        <v>36.459000000000003</v>
      </c>
      <c r="JS41" s="14">
        <v>36.457000000000001</v>
      </c>
      <c r="JT41" s="14">
        <v>36.46</v>
      </c>
      <c r="JU41" s="14">
        <v>36.457999999999998</v>
      </c>
      <c r="JV41" s="14">
        <v>36.462000000000003</v>
      </c>
      <c r="JW41" s="14">
        <v>36.46</v>
      </c>
      <c r="JX41" s="14">
        <v>36.463000000000001</v>
      </c>
      <c r="JY41" s="14">
        <v>36.460999999999999</v>
      </c>
      <c r="JZ41" s="14">
        <v>36.462000000000003</v>
      </c>
      <c r="KA41" s="14">
        <v>36.46</v>
      </c>
      <c r="KB41" s="14">
        <v>36.459000000000003</v>
      </c>
      <c r="KC41" s="14">
        <v>36.463000000000001</v>
      </c>
      <c r="KD41" s="14">
        <v>36.466000000000001</v>
      </c>
      <c r="KE41" s="14">
        <v>36.465000000000003</v>
      </c>
      <c r="KF41" s="14">
        <v>36.46</v>
      </c>
      <c r="KG41" s="14">
        <v>36.459000000000003</v>
      </c>
      <c r="KH41" s="14">
        <v>36.465000000000003</v>
      </c>
      <c r="KI41" s="14">
        <v>36.462000000000003</v>
      </c>
      <c r="KJ41" s="14">
        <v>36.469000000000001</v>
      </c>
      <c r="KK41" s="14">
        <v>36.462000000000003</v>
      </c>
      <c r="KL41" s="14">
        <v>36.46</v>
      </c>
      <c r="KM41" s="14">
        <v>36.463000000000001</v>
      </c>
      <c r="KN41" s="14">
        <v>36.465000000000003</v>
      </c>
      <c r="KO41" s="14">
        <v>36.46</v>
      </c>
      <c r="KP41" s="14"/>
      <c r="KQ41" s="14"/>
      <c r="KR41" s="14"/>
      <c r="KS41" s="14"/>
      <c r="KT41" s="14"/>
      <c r="KU41" s="14"/>
      <c r="KV41" s="14"/>
      <c r="KW41" s="14"/>
      <c r="KX41" s="14"/>
      <c r="KY41" s="14"/>
      <c r="KZ41" s="14"/>
      <c r="LA41" s="14"/>
      <c r="LB41" s="14"/>
      <c r="LC41" s="14"/>
      <c r="LD41" s="14"/>
      <c r="LE41" s="14"/>
      <c r="LF41" s="14"/>
      <c r="LG41" s="14"/>
      <c r="LH41" s="14"/>
      <c r="LI41" s="14"/>
      <c r="LJ41" s="12">
        <f t="shared" si="2"/>
        <v>20</v>
      </c>
      <c r="LK41" s="6">
        <f t="shared" si="3"/>
        <v>29.874999999999993</v>
      </c>
      <c r="LL41" s="2">
        <f t="shared" si="4"/>
        <v>0.21322560328144638</v>
      </c>
      <c r="LM41" s="7">
        <f t="shared" si="5"/>
        <v>1.5632894371195378E-2</v>
      </c>
      <c r="LN41" s="7">
        <f t="shared" si="6"/>
        <v>0.14851249652636861</v>
      </c>
      <c r="LO41" s="7">
        <f t="shared" si="8"/>
        <v>-0.11724670778397785</v>
      </c>
      <c r="LP41" s="7">
        <f t="shared" si="0"/>
        <v>-0.11724670778397785</v>
      </c>
    </row>
    <row r="42" spans="1:328" ht="30" customHeight="1">
      <c r="A42" s="2" t="s">
        <v>48</v>
      </c>
      <c r="B42" s="2" t="s">
        <v>53</v>
      </c>
      <c r="C42" s="2" t="s">
        <v>57</v>
      </c>
      <c r="D42" s="2" t="s">
        <v>52</v>
      </c>
      <c r="E42" s="5">
        <v>29.965</v>
      </c>
      <c r="F42" s="5">
        <v>29.948</v>
      </c>
      <c r="G42" s="5">
        <f t="shared" si="1"/>
        <v>29.956499999999998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>
        <v>29.956</v>
      </c>
      <c r="AH42" s="5">
        <v>29.959</v>
      </c>
      <c r="AI42" s="5">
        <v>29.956</v>
      </c>
      <c r="AJ42" s="5">
        <v>29.957999999999998</v>
      </c>
      <c r="AK42" s="5">
        <v>29.957000000000001</v>
      </c>
      <c r="AL42" s="5">
        <v>29.951000000000001</v>
      </c>
      <c r="AM42" s="5">
        <v>29.963000000000001</v>
      </c>
      <c r="AN42" s="5">
        <v>29.949000000000002</v>
      </c>
      <c r="AO42" s="5">
        <v>29.942</v>
      </c>
      <c r="AP42" s="5">
        <v>29.954999999999998</v>
      </c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>
        <v>29.952999999999999</v>
      </c>
      <c r="BB42" s="5">
        <v>29.949000000000002</v>
      </c>
      <c r="BC42" s="5">
        <v>29.952999999999999</v>
      </c>
      <c r="BD42" s="5">
        <v>29.957999999999998</v>
      </c>
      <c r="BE42" s="5">
        <v>29.948</v>
      </c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>
        <v>29.963000000000001</v>
      </c>
      <c r="CA42" s="5">
        <v>29.959</v>
      </c>
      <c r="CB42" s="5">
        <v>29.960999999999999</v>
      </c>
      <c r="CC42" s="5">
        <v>29.963999999999999</v>
      </c>
      <c r="CD42" s="5">
        <v>29.957999999999998</v>
      </c>
      <c r="CE42" s="5">
        <v>29.96</v>
      </c>
      <c r="CF42" s="5">
        <v>29.957999999999998</v>
      </c>
      <c r="CG42" s="5">
        <v>29.963000000000001</v>
      </c>
      <c r="CH42" s="5">
        <v>29.960999999999999</v>
      </c>
      <c r="CI42" s="5">
        <v>29.956</v>
      </c>
      <c r="CJ42" s="5">
        <v>29.954999999999998</v>
      </c>
      <c r="CK42" s="5">
        <v>29.954000000000001</v>
      </c>
      <c r="CL42" s="5">
        <v>29.949000000000002</v>
      </c>
      <c r="CM42" s="5">
        <v>29.954999999999998</v>
      </c>
      <c r="CN42" s="5">
        <v>29.95</v>
      </c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>
        <v>29.940999999999999</v>
      </c>
      <c r="DE42" s="5">
        <v>29.945</v>
      </c>
      <c r="DF42" s="5">
        <v>29.946000000000002</v>
      </c>
      <c r="DG42" s="5">
        <v>29.963000000000001</v>
      </c>
      <c r="DH42" s="5">
        <v>29.946000000000002</v>
      </c>
      <c r="DI42" s="5"/>
      <c r="DJ42" s="5"/>
      <c r="DK42" s="5"/>
      <c r="DL42" s="5"/>
      <c r="DM42" s="5"/>
      <c r="DN42" s="5">
        <v>29.952000000000002</v>
      </c>
      <c r="DO42" s="5">
        <v>29.946000000000002</v>
      </c>
      <c r="DP42" s="5">
        <v>29.956</v>
      </c>
      <c r="DQ42" s="5">
        <v>29.951000000000001</v>
      </c>
      <c r="DR42" s="5">
        <v>29.954000000000001</v>
      </c>
      <c r="DS42" s="5">
        <v>29.951000000000001</v>
      </c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>
        <v>29.95</v>
      </c>
      <c r="HI42" s="5">
        <v>29.951000000000001</v>
      </c>
      <c r="HJ42" s="5">
        <v>29.952999999999999</v>
      </c>
      <c r="HK42" s="5">
        <v>29.95</v>
      </c>
      <c r="HL42" s="5">
        <v>29.952999999999999</v>
      </c>
      <c r="HM42" s="13">
        <v>29.951000000000001</v>
      </c>
      <c r="HN42" s="14">
        <v>29.952999999999999</v>
      </c>
      <c r="HO42" s="14">
        <v>29.960999999999999</v>
      </c>
      <c r="HP42" s="14">
        <v>29.957999999999998</v>
      </c>
      <c r="HQ42" s="14"/>
      <c r="HR42" s="14"/>
      <c r="HS42" s="14"/>
      <c r="HT42" s="14"/>
      <c r="HU42" s="14"/>
      <c r="HV42" s="14"/>
      <c r="HW42" s="14"/>
      <c r="HX42" s="11"/>
      <c r="HY42" s="11"/>
      <c r="HZ42" s="11"/>
      <c r="IA42" s="11"/>
      <c r="IB42" s="11"/>
      <c r="IC42" s="11"/>
      <c r="ID42" s="11"/>
      <c r="IE42" s="11"/>
      <c r="IF42" s="11"/>
      <c r="IG42" s="11"/>
      <c r="IH42" s="14">
        <v>29.954999999999998</v>
      </c>
      <c r="II42" s="14">
        <v>29.965</v>
      </c>
      <c r="IJ42" s="14">
        <v>29.95</v>
      </c>
      <c r="IK42" s="14">
        <v>29.960999999999999</v>
      </c>
      <c r="IL42" s="14">
        <v>29.96</v>
      </c>
      <c r="IM42" s="14">
        <v>29.59</v>
      </c>
      <c r="IN42" s="14">
        <v>29.960999999999999</v>
      </c>
      <c r="IO42" s="14">
        <v>29.963000000000001</v>
      </c>
      <c r="IP42" s="14">
        <v>29.960999999999999</v>
      </c>
      <c r="IQ42" s="14">
        <v>29.943999999999999</v>
      </c>
      <c r="IR42" s="14">
        <v>29.949000000000002</v>
      </c>
      <c r="IS42" s="14">
        <v>29.981999999999999</v>
      </c>
      <c r="IT42" s="14">
        <v>29.95</v>
      </c>
      <c r="IU42" s="14">
        <v>29.962</v>
      </c>
      <c r="IV42" s="14">
        <v>29.959</v>
      </c>
      <c r="IW42" s="14">
        <v>29.957999999999998</v>
      </c>
      <c r="IX42" s="14">
        <v>29.960999999999999</v>
      </c>
      <c r="IY42" s="14">
        <v>29.96</v>
      </c>
      <c r="IZ42" s="14">
        <v>29.957999999999998</v>
      </c>
      <c r="JA42" s="14">
        <v>29.963000000000001</v>
      </c>
      <c r="JB42" s="14">
        <v>29.963000000000001</v>
      </c>
      <c r="JC42" s="14">
        <v>29.960999999999999</v>
      </c>
      <c r="JD42" s="14">
        <v>29.962</v>
      </c>
      <c r="JE42" s="14">
        <v>29.96</v>
      </c>
      <c r="JF42" s="14">
        <v>29.960999999999999</v>
      </c>
      <c r="JG42" s="14">
        <v>29.959</v>
      </c>
      <c r="JH42" s="14">
        <v>29.96</v>
      </c>
      <c r="JI42" s="14">
        <v>29.946000000000002</v>
      </c>
      <c r="JJ42" s="14">
        <v>29.962</v>
      </c>
      <c r="JK42" s="14">
        <v>29.963000000000001</v>
      </c>
      <c r="JL42" s="14">
        <v>29.954999999999998</v>
      </c>
      <c r="JM42" s="14">
        <v>29.957000000000001</v>
      </c>
      <c r="JN42" s="14">
        <v>29.954000000000001</v>
      </c>
      <c r="JO42" s="14">
        <v>29.956</v>
      </c>
      <c r="JP42" s="14">
        <v>29.954999999999998</v>
      </c>
      <c r="JQ42" s="14">
        <v>29.954000000000001</v>
      </c>
      <c r="JR42" s="14">
        <v>29.954999999999998</v>
      </c>
      <c r="JS42" s="14">
        <v>29.95</v>
      </c>
      <c r="JT42" s="14">
        <v>29.954000000000001</v>
      </c>
      <c r="JU42" s="14">
        <v>29.956</v>
      </c>
      <c r="JV42" s="14">
        <v>29.954999999999998</v>
      </c>
      <c r="JW42" s="14">
        <v>29.952000000000002</v>
      </c>
      <c r="JX42" s="14">
        <v>29.956</v>
      </c>
      <c r="JY42" s="14">
        <v>29.952999999999999</v>
      </c>
      <c r="JZ42" s="14">
        <v>29.959</v>
      </c>
      <c r="KA42" s="14">
        <v>29.954000000000001</v>
      </c>
      <c r="KB42" s="14">
        <v>29.954999999999998</v>
      </c>
      <c r="KC42" s="14">
        <v>29.959</v>
      </c>
      <c r="KD42" s="14">
        <v>29.96</v>
      </c>
      <c r="KE42" s="14">
        <v>29.957000000000001</v>
      </c>
      <c r="KF42" s="14">
        <v>29.454999999999998</v>
      </c>
      <c r="KG42" s="14">
        <v>29.457000000000001</v>
      </c>
      <c r="KH42" s="14">
        <v>29.452000000000002</v>
      </c>
      <c r="KI42" s="14">
        <v>29.456</v>
      </c>
      <c r="KJ42" s="14">
        <v>29.459</v>
      </c>
      <c r="KK42" s="14"/>
      <c r="KL42" s="14"/>
      <c r="KM42" s="14"/>
      <c r="KN42" s="14"/>
      <c r="KO42" s="14"/>
      <c r="KP42" s="14"/>
      <c r="KQ42" s="14"/>
      <c r="KR42" s="14"/>
      <c r="KS42" s="14"/>
      <c r="KT42" s="14"/>
      <c r="KU42" s="14"/>
      <c r="KV42" s="14"/>
      <c r="KW42" s="14"/>
      <c r="KX42" s="14"/>
      <c r="KY42" s="14"/>
      <c r="KZ42" s="14"/>
      <c r="LA42" s="14"/>
      <c r="LB42" s="14"/>
      <c r="LC42" s="14"/>
      <c r="LD42" s="14"/>
      <c r="LE42" s="14"/>
      <c r="LF42" s="14"/>
      <c r="LG42" s="14"/>
      <c r="LH42" s="14"/>
      <c r="LI42" s="14"/>
      <c r="LJ42" s="12">
        <f t="shared" si="2"/>
        <v>15</v>
      </c>
      <c r="LK42" s="6">
        <f t="shared" si="3"/>
        <v>29.943066666666667</v>
      </c>
      <c r="LL42" s="2">
        <f t="shared" si="4"/>
        <v>1.5796322658257519E-3</v>
      </c>
      <c r="LM42" s="7">
        <f t="shared" si="5"/>
        <v>1.6881566199668419</v>
      </c>
      <c r="LN42" s="7">
        <f t="shared" si="6"/>
        <v>1.8851082256297838</v>
      </c>
      <c r="LO42" s="7">
        <f t="shared" si="8"/>
        <v>1.4912050143039</v>
      </c>
      <c r="LP42" s="7">
        <f t="shared" si="0"/>
        <v>1.4912050143039</v>
      </c>
    </row>
    <row r="43" spans="1:328" ht="30" customHeight="1">
      <c r="A43" s="2" t="s">
        <v>48</v>
      </c>
      <c r="B43" s="2" t="s">
        <v>58</v>
      </c>
      <c r="C43" s="2" t="s">
        <v>59</v>
      </c>
      <c r="D43" s="2" t="s">
        <v>52</v>
      </c>
      <c r="E43" s="5">
        <v>29.97</v>
      </c>
      <c r="F43" s="5">
        <v>29.95</v>
      </c>
      <c r="G43" s="5">
        <f t="shared" si="1"/>
        <v>29.96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>
        <v>29.251000000000001</v>
      </c>
      <c r="BB43" s="5">
        <v>29.960999999999999</v>
      </c>
      <c r="BC43" s="5">
        <v>29.963000000000001</v>
      </c>
      <c r="BD43" s="5">
        <v>29.965</v>
      </c>
      <c r="BE43" s="5">
        <v>29.253</v>
      </c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>
        <v>29.940999999999999</v>
      </c>
      <c r="BQ43" s="5">
        <v>29.939</v>
      </c>
      <c r="BR43" s="5">
        <v>29.937999999999999</v>
      </c>
      <c r="BS43" s="5">
        <v>29.94</v>
      </c>
      <c r="BT43" s="5">
        <v>29.940999999999999</v>
      </c>
      <c r="BU43" s="5">
        <v>29.939</v>
      </c>
      <c r="BV43" s="5">
        <v>29.943000000000001</v>
      </c>
      <c r="BW43" s="5">
        <v>29.94</v>
      </c>
      <c r="BX43" s="5">
        <v>29.945</v>
      </c>
      <c r="BY43" s="5">
        <v>29.937999999999999</v>
      </c>
      <c r="BZ43" s="5">
        <v>29.94</v>
      </c>
      <c r="CA43" s="5">
        <v>29.940999999999999</v>
      </c>
      <c r="CB43" s="5">
        <v>29.940999999999999</v>
      </c>
      <c r="CC43" s="5">
        <v>29.942</v>
      </c>
      <c r="CD43" s="5">
        <v>29.939</v>
      </c>
      <c r="CE43" s="5">
        <v>29.940999999999999</v>
      </c>
      <c r="CF43" s="5">
        <v>29.942</v>
      </c>
      <c r="CG43" s="5">
        <v>29.939</v>
      </c>
      <c r="CH43" s="5">
        <v>29.943000000000001</v>
      </c>
      <c r="CI43" s="5">
        <v>29.940999999999999</v>
      </c>
      <c r="CJ43" s="5">
        <v>29.943999999999999</v>
      </c>
      <c r="CK43" s="5">
        <v>29.94</v>
      </c>
      <c r="CL43" s="5">
        <v>29.940999999999999</v>
      </c>
      <c r="CM43" s="5">
        <v>29.943999999999999</v>
      </c>
      <c r="CN43" s="5">
        <v>29.942</v>
      </c>
      <c r="CO43" s="5"/>
      <c r="CP43" s="5"/>
      <c r="CQ43" s="5"/>
      <c r="CR43" s="5"/>
      <c r="CS43" s="5"/>
      <c r="CT43" s="5">
        <v>29.945</v>
      </c>
      <c r="CU43" s="5">
        <v>29.948</v>
      </c>
      <c r="CV43" s="5">
        <v>29.952999999999999</v>
      </c>
      <c r="CW43" s="5">
        <v>29.951000000000001</v>
      </c>
      <c r="CX43" s="5">
        <v>29.95</v>
      </c>
      <c r="CY43" s="5">
        <v>29.943000000000001</v>
      </c>
      <c r="CZ43" s="5">
        <v>29.946000000000002</v>
      </c>
      <c r="DA43" s="5">
        <v>29.942</v>
      </c>
      <c r="DB43" s="5">
        <v>29.943999999999999</v>
      </c>
      <c r="DC43" s="5">
        <v>29.945</v>
      </c>
      <c r="DD43" s="5">
        <v>29.946999999999999</v>
      </c>
      <c r="DE43" s="5">
        <v>29.942</v>
      </c>
      <c r="DF43" s="5">
        <v>29.949000000000002</v>
      </c>
      <c r="DG43" s="5">
        <v>29.943999999999999</v>
      </c>
      <c r="DH43" s="5">
        <v>29.946000000000002</v>
      </c>
      <c r="DI43" s="5">
        <v>29.940999999999999</v>
      </c>
      <c r="DJ43" s="5">
        <v>29.942</v>
      </c>
      <c r="DK43" s="5">
        <v>29.942</v>
      </c>
      <c r="DL43" s="5">
        <v>29.940999999999999</v>
      </c>
      <c r="DM43" s="5">
        <v>29.943000000000001</v>
      </c>
      <c r="DN43" s="5">
        <v>29.948</v>
      </c>
      <c r="DO43" s="5">
        <v>29.943999999999999</v>
      </c>
      <c r="DP43" s="5">
        <v>29.945</v>
      </c>
      <c r="DQ43" s="5">
        <v>29.946999999999999</v>
      </c>
      <c r="DR43" s="5">
        <v>29.946000000000002</v>
      </c>
      <c r="DS43" s="5">
        <v>29.946000000000002</v>
      </c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>
        <v>29.94</v>
      </c>
      <c r="HI43" s="5">
        <v>29.940999999999999</v>
      </c>
      <c r="HJ43" s="5">
        <v>29.943999999999999</v>
      </c>
      <c r="HK43" s="5">
        <v>29.943000000000001</v>
      </c>
      <c r="HL43" s="5">
        <v>29.943000000000001</v>
      </c>
      <c r="HM43" s="13">
        <v>29.948</v>
      </c>
      <c r="HN43" s="14">
        <v>29.946000000000002</v>
      </c>
      <c r="HO43" s="14">
        <v>29.945</v>
      </c>
      <c r="HP43" s="14">
        <v>29.95</v>
      </c>
      <c r="HQ43" s="14"/>
      <c r="HR43" s="14"/>
      <c r="HS43" s="14"/>
      <c r="HT43" s="14"/>
      <c r="HU43" s="14"/>
      <c r="HV43" s="14"/>
      <c r="HW43" s="14"/>
      <c r="HX43" s="11"/>
      <c r="HY43" s="11"/>
      <c r="HZ43" s="11"/>
      <c r="IA43" s="11"/>
      <c r="IB43" s="11"/>
      <c r="IC43" s="11"/>
      <c r="ID43" s="11"/>
      <c r="IE43" s="11"/>
      <c r="IF43" s="11"/>
      <c r="IG43" s="11"/>
      <c r="IH43" s="14">
        <v>29.943000000000001</v>
      </c>
      <c r="II43" s="14">
        <v>29.940999999999999</v>
      </c>
      <c r="IJ43" s="14">
        <v>29.943000000000001</v>
      </c>
      <c r="IK43" s="14">
        <v>29.943999999999999</v>
      </c>
      <c r="IL43" s="14">
        <v>29.940999999999999</v>
      </c>
      <c r="IM43" s="14">
        <v>29.942</v>
      </c>
      <c r="IN43" s="14">
        <v>29.940999999999999</v>
      </c>
      <c r="IO43" s="14">
        <v>29.943000000000001</v>
      </c>
      <c r="IP43" s="14">
        <v>29.946000000000002</v>
      </c>
      <c r="IQ43" s="14">
        <v>29.940999999999999</v>
      </c>
      <c r="IR43" s="14">
        <v>29.942</v>
      </c>
      <c r="IS43" s="14">
        <v>29.946999999999999</v>
      </c>
      <c r="IT43" s="14">
        <v>29.945</v>
      </c>
      <c r="IU43" s="14">
        <v>29.943999999999999</v>
      </c>
      <c r="IV43" s="14">
        <v>29.946000000000002</v>
      </c>
      <c r="IW43" s="14">
        <v>29.952999999999999</v>
      </c>
      <c r="IX43" s="14">
        <v>29.956</v>
      </c>
      <c r="IY43" s="14">
        <v>29.952999999999999</v>
      </c>
      <c r="IZ43" s="14">
        <v>29.946999999999999</v>
      </c>
      <c r="JA43" s="14">
        <v>29.949000000000002</v>
      </c>
      <c r="JB43" s="14">
        <v>29.948</v>
      </c>
      <c r="JC43" s="14">
        <v>29.95</v>
      </c>
      <c r="JD43" s="14">
        <v>29.946999999999999</v>
      </c>
      <c r="JE43" s="14">
        <v>29.949000000000002</v>
      </c>
      <c r="JF43" s="14">
        <v>29.948</v>
      </c>
      <c r="JG43" s="14">
        <v>29.946999999999999</v>
      </c>
      <c r="JH43" s="14">
        <v>29.943999999999999</v>
      </c>
      <c r="JI43" s="14">
        <v>29.946000000000002</v>
      </c>
      <c r="JJ43" s="14">
        <v>29.937999999999999</v>
      </c>
      <c r="JK43" s="14">
        <v>29.94</v>
      </c>
      <c r="JL43" s="14">
        <v>29.948</v>
      </c>
      <c r="JM43" s="14">
        <v>29.946999999999999</v>
      </c>
      <c r="JN43" s="14">
        <v>29.95</v>
      </c>
      <c r="JO43" s="14">
        <v>29.949000000000002</v>
      </c>
      <c r="JP43" s="14">
        <v>29.948</v>
      </c>
      <c r="JQ43" s="14">
        <v>29.940999999999999</v>
      </c>
      <c r="JR43" s="14">
        <v>29.94</v>
      </c>
      <c r="JS43" s="14">
        <v>29.943000000000001</v>
      </c>
      <c r="JT43" s="14">
        <v>29.94</v>
      </c>
      <c r="JU43" s="14">
        <v>29.942</v>
      </c>
      <c r="JV43" s="14">
        <v>29.946000000000002</v>
      </c>
      <c r="JW43" s="14">
        <v>29.948</v>
      </c>
      <c r="JX43" s="14">
        <v>29.949000000000002</v>
      </c>
      <c r="JY43" s="14">
        <v>29.946999999999999</v>
      </c>
      <c r="JZ43" s="14">
        <v>29.946000000000002</v>
      </c>
      <c r="KA43" s="14">
        <v>29.936</v>
      </c>
      <c r="KB43" s="14">
        <v>29.937000000000001</v>
      </c>
      <c r="KC43" s="14">
        <v>29.94</v>
      </c>
      <c r="KD43" s="14">
        <v>29.940999999999999</v>
      </c>
      <c r="KE43" s="14">
        <v>29.937000000000001</v>
      </c>
      <c r="KF43" s="14">
        <v>29.952000000000002</v>
      </c>
      <c r="KG43" s="14">
        <v>29.954999999999998</v>
      </c>
      <c r="KH43" s="14">
        <v>29.959</v>
      </c>
      <c r="KI43" s="14">
        <v>29.956</v>
      </c>
      <c r="KJ43" s="14">
        <v>29.951000000000001</v>
      </c>
      <c r="KK43" s="14">
        <v>29.952000000000002</v>
      </c>
      <c r="KL43" s="14">
        <v>29.951000000000001</v>
      </c>
      <c r="KM43" s="14">
        <v>29.952999999999999</v>
      </c>
      <c r="KN43" s="14">
        <v>29.952000000000002</v>
      </c>
      <c r="KO43" s="14">
        <v>29.957000000000001</v>
      </c>
      <c r="KP43" s="14"/>
      <c r="KQ43" s="14"/>
      <c r="KR43" s="14"/>
      <c r="KS43" s="14"/>
      <c r="KT43" s="14"/>
      <c r="KU43" s="14"/>
      <c r="KV43" s="14"/>
      <c r="KW43" s="14"/>
      <c r="KX43" s="14"/>
      <c r="KY43" s="14"/>
      <c r="KZ43" s="14"/>
      <c r="LA43" s="14"/>
      <c r="LB43" s="14"/>
      <c r="LC43" s="14"/>
      <c r="LD43" s="14"/>
      <c r="LE43" s="14"/>
      <c r="LF43" s="14"/>
      <c r="LG43" s="14"/>
      <c r="LH43" s="14"/>
      <c r="LI43" s="14"/>
      <c r="LJ43" s="12">
        <f t="shared" si="2"/>
        <v>45</v>
      </c>
      <c r="LK43" s="6">
        <f t="shared" si="3"/>
        <v>29.94166666666667</v>
      </c>
      <c r="LL43" s="2">
        <f t="shared" si="4"/>
        <v>3.0075662163042013E-3</v>
      </c>
      <c r="LM43" s="7">
        <f t="shared" si="5"/>
        <v>0.88665268688376708</v>
      </c>
      <c r="LN43" s="7">
        <f t="shared" si="6"/>
        <v>1.1452597205578956</v>
      </c>
      <c r="LO43" s="7">
        <f t="shared" si="8"/>
        <v>0.62804565320963857</v>
      </c>
      <c r="LP43" s="7">
        <f t="shared" si="0"/>
        <v>0.62804565320963857</v>
      </c>
    </row>
    <row r="44" spans="1:328" ht="30" customHeight="1">
      <c r="A44" s="2" t="s">
        <v>48</v>
      </c>
      <c r="B44" s="2" t="s">
        <v>58</v>
      </c>
      <c r="C44" s="2" t="s">
        <v>60</v>
      </c>
      <c r="D44" s="2" t="s">
        <v>33</v>
      </c>
      <c r="E44" s="5">
        <v>29.952000000000002</v>
      </c>
      <c r="F44" s="5">
        <v>29.936</v>
      </c>
      <c r="G44" s="5">
        <f t="shared" si="1"/>
        <v>29.944000000000003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>
        <v>29.943000000000001</v>
      </c>
      <c r="BQ44" s="5">
        <v>29.942</v>
      </c>
      <c r="BR44" s="5">
        <v>29.943999999999999</v>
      </c>
      <c r="BS44" s="5">
        <v>29.942</v>
      </c>
      <c r="BT44" s="5">
        <v>29.942</v>
      </c>
      <c r="BU44" s="5">
        <v>29.943999999999999</v>
      </c>
      <c r="BV44" s="5">
        <v>29.946000000000002</v>
      </c>
      <c r="BW44" s="5">
        <v>29.939</v>
      </c>
      <c r="BX44" s="5">
        <v>29.942</v>
      </c>
      <c r="BY44" s="5">
        <v>29.943999999999999</v>
      </c>
      <c r="BZ44" s="5">
        <v>29.943999999999999</v>
      </c>
      <c r="CA44" s="5">
        <v>29.943000000000001</v>
      </c>
      <c r="CB44" s="5">
        <v>29.943000000000001</v>
      </c>
      <c r="CC44" s="5">
        <v>29.943999999999999</v>
      </c>
      <c r="CD44" s="5">
        <v>29.943999999999999</v>
      </c>
      <c r="CE44" s="5">
        <v>29.94</v>
      </c>
      <c r="CF44" s="5">
        <v>29.942</v>
      </c>
      <c r="CG44" s="5">
        <v>29.943999999999999</v>
      </c>
      <c r="CH44" s="5">
        <v>29.946999999999999</v>
      </c>
      <c r="CI44" s="5">
        <v>29.940999999999999</v>
      </c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>
        <v>29.948</v>
      </c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>
        <v>29.946000000000002</v>
      </c>
      <c r="HI44" s="5">
        <v>29.946999999999999</v>
      </c>
      <c r="HJ44" s="5">
        <v>29.948</v>
      </c>
      <c r="HK44" s="5">
        <v>29.946999999999999</v>
      </c>
      <c r="HL44" s="15">
        <v>29.946999999999999</v>
      </c>
      <c r="HM44" s="16">
        <v>29.946000000000002</v>
      </c>
      <c r="HN44" s="17">
        <v>29.945</v>
      </c>
      <c r="HO44" s="17">
        <v>29.943000000000001</v>
      </c>
      <c r="HP44" s="17">
        <v>29.943999999999999</v>
      </c>
      <c r="HQ44" s="14"/>
      <c r="HR44" s="14"/>
      <c r="HS44" s="14"/>
      <c r="HT44" s="14"/>
      <c r="HU44" s="14"/>
      <c r="HV44" s="14"/>
      <c r="HW44" s="14"/>
      <c r="HX44" s="11"/>
      <c r="HY44" s="11"/>
      <c r="HZ44" s="11"/>
      <c r="IA44" s="11"/>
      <c r="IB44" s="11"/>
      <c r="IC44" s="11"/>
      <c r="ID44" s="11"/>
      <c r="IE44" s="11"/>
      <c r="IF44" s="11"/>
      <c r="IG44" s="11"/>
      <c r="IH44" s="14"/>
      <c r="II44" s="14"/>
      <c r="IJ44" s="14"/>
      <c r="IK44" s="14"/>
      <c r="IL44" s="14"/>
      <c r="IM44" s="14"/>
      <c r="IN44" s="14"/>
      <c r="IO44" s="14"/>
      <c r="IP44" s="14"/>
      <c r="IQ44" s="14"/>
      <c r="IR44" s="14">
        <v>29.936</v>
      </c>
      <c r="IS44" s="14">
        <v>29.94</v>
      </c>
      <c r="IT44" s="14">
        <v>29.946999999999999</v>
      </c>
      <c r="IU44" s="14">
        <v>29.949000000000002</v>
      </c>
      <c r="IV44" s="14">
        <v>29.951000000000001</v>
      </c>
      <c r="IW44" s="14">
        <v>29.954000000000001</v>
      </c>
      <c r="IX44" s="14">
        <v>29.937999999999999</v>
      </c>
      <c r="IY44" s="14">
        <v>29.94</v>
      </c>
      <c r="IZ44" s="14">
        <v>29.940999999999999</v>
      </c>
      <c r="JA44" s="14">
        <v>29.946999999999999</v>
      </c>
      <c r="JB44" s="14">
        <v>29.943999999999999</v>
      </c>
      <c r="JC44" s="14">
        <v>29.943000000000001</v>
      </c>
      <c r="JD44" s="14">
        <v>29.942</v>
      </c>
      <c r="JE44" s="14">
        <v>29.943000000000001</v>
      </c>
      <c r="JF44" s="14">
        <v>29.945</v>
      </c>
      <c r="JG44" s="14">
        <v>29.946999999999999</v>
      </c>
      <c r="JH44" s="14">
        <v>29.943000000000001</v>
      </c>
      <c r="JI44" s="14">
        <v>29.942</v>
      </c>
      <c r="JJ44" s="14">
        <v>29.946000000000002</v>
      </c>
      <c r="JK44" s="14">
        <v>29.943999999999999</v>
      </c>
      <c r="JL44" s="14">
        <v>29.946999999999999</v>
      </c>
      <c r="JM44" s="14">
        <v>29.945</v>
      </c>
      <c r="JN44" s="14">
        <v>29.946000000000002</v>
      </c>
      <c r="JO44" s="14">
        <v>29.949000000000002</v>
      </c>
      <c r="JP44" s="14">
        <v>29.945</v>
      </c>
      <c r="JQ44" s="14">
        <v>29.949000000000002</v>
      </c>
      <c r="JR44" s="14">
        <v>29.95</v>
      </c>
      <c r="JS44" s="14">
        <v>29.952000000000002</v>
      </c>
      <c r="JT44" s="14">
        <v>29.95</v>
      </c>
      <c r="JU44" s="14">
        <v>29.948</v>
      </c>
      <c r="JV44" s="14">
        <v>29.945</v>
      </c>
      <c r="JW44" s="14">
        <v>29.946999999999999</v>
      </c>
      <c r="JX44" s="14">
        <v>29.946000000000002</v>
      </c>
      <c r="JY44" s="14">
        <v>29.949000000000002</v>
      </c>
      <c r="JZ44" s="14">
        <v>29.945</v>
      </c>
      <c r="KA44" s="14">
        <v>29.946999999999999</v>
      </c>
      <c r="KB44" s="14">
        <v>29.948</v>
      </c>
      <c r="KC44" s="14">
        <v>29.949000000000002</v>
      </c>
      <c r="KD44" s="14">
        <v>29.946000000000002</v>
      </c>
      <c r="KE44" s="14">
        <v>29.949000000000002</v>
      </c>
      <c r="KF44" s="14">
        <v>29.945</v>
      </c>
      <c r="KG44" s="14">
        <v>29.946999999999999</v>
      </c>
      <c r="KH44" s="14">
        <v>29.943000000000001</v>
      </c>
      <c r="KI44" s="14">
        <v>29.943999999999999</v>
      </c>
      <c r="KJ44" s="14">
        <v>29.946000000000002</v>
      </c>
      <c r="KK44" s="14">
        <v>29.945</v>
      </c>
      <c r="KL44" s="14">
        <v>29.943000000000001</v>
      </c>
      <c r="KM44" s="14">
        <v>29.943999999999999</v>
      </c>
      <c r="KN44" s="14">
        <v>29.946000000000002</v>
      </c>
      <c r="KO44" s="14">
        <v>29.946999999999999</v>
      </c>
      <c r="KP44" s="14"/>
      <c r="KQ44" s="14"/>
      <c r="KR44" s="14"/>
      <c r="KS44" s="14"/>
      <c r="KT44" s="14"/>
      <c r="KU44" s="14"/>
      <c r="KV44" s="14"/>
      <c r="KW44" s="14"/>
      <c r="KX44" s="14"/>
      <c r="KY44" s="14"/>
      <c r="KZ44" s="14"/>
      <c r="LA44" s="14"/>
      <c r="LB44" s="14"/>
      <c r="LC44" s="14"/>
      <c r="LD44" s="14"/>
      <c r="LE44" s="14"/>
      <c r="LF44" s="14"/>
      <c r="LG44" s="14"/>
      <c r="LH44" s="14"/>
      <c r="LI44" s="14"/>
      <c r="LJ44" s="12">
        <f t="shared" si="2"/>
        <v>35</v>
      </c>
      <c r="LK44" s="6">
        <f t="shared" si="3"/>
        <v>10.047257142857143</v>
      </c>
      <c r="LL44" s="2">
        <f t="shared" si="4"/>
        <v>2.9935504902733967E-3</v>
      </c>
      <c r="LM44" s="7">
        <f t="shared" si="5"/>
        <v>1.1135049648115771</v>
      </c>
      <c r="LN44" s="7">
        <f t="shared" si="6"/>
        <v>1.4189234694455413</v>
      </c>
      <c r="LO44" s="7">
        <f t="shared" si="8"/>
        <v>0.80808646017761288</v>
      </c>
      <c r="LP44" s="7">
        <f t="shared" si="0"/>
        <v>0.80808646017761288</v>
      </c>
    </row>
    <row r="45" spans="1:328" ht="30" customHeight="1">
      <c r="A45" s="2" t="s">
        <v>48</v>
      </c>
      <c r="B45" s="2" t="s">
        <v>61</v>
      </c>
      <c r="C45" s="2" t="s">
        <v>62</v>
      </c>
      <c r="D45" s="2" t="s">
        <v>33</v>
      </c>
      <c r="E45" s="5">
        <v>29.952000000000002</v>
      </c>
      <c r="F45" s="5">
        <v>29.936</v>
      </c>
      <c r="G45" s="5">
        <f t="shared" si="1"/>
        <v>29.944000000000003</v>
      </c>
      <c r="H45" s="5">
        <v>29.942</v>
      </c>
      <c r="I45" s="5">
        <v>29.943999999999999</v>
      </c>
      <c r="J45" s="5">
        <v>29.940999999999999</v>
      </c>
      <c r="K45" s="5">
        <v>29.939</v>
      </c>
      <c r="L45" s="5">
        <v>29.94</v>
      </c>
      <c r="M45" s="5">
        <v>29.940999999999999</v>
      </c>
      <c r="N45" s="5">
        <v>29.94</v>
      </c>
      <c r="O45" s="5">
        <v>29.940999999999999</v>
      </c>
      <c r="P45" s="5">
        <v>29.94</v>
      </c>
      <c r="Q45" s="5">
        <v>29.939</v>
      </c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29.942</v>
      </c>
      <c r="AC45" s="5">
        <v>29.946000000000002</v>
      </c>
      <c r="AD45" s="5">
        <v>29.939</v>
      </c>
      <c r="AE45" s="5">
        <v>29.940999999999999</v>
      </c>
      <c r="AF45" s="5">
        <v>29.945</v>
      </c>
      <c r="AG45" s="5">
        <v>29.94</v>
      </c>
      <c r="AH45" s="5">
        <v>29.939</v>
      </c>
      <c r="AI45" s="5">
        <v>29.937999999999999</v>
      </c>
      <c r="AJ45" s="5">
        <v>29.939</v>
      </c>
      <c r="AK45" s="5">
        <v>29.940999999999999</v>
      </c>
      <c r="AL45" s="5">
        <v>29.940999999999999</v>
      </c>
      <c r="AM45" s="5">
        <v>29.945</v>
      </c>
      <c r="AN45" s="5">
        <v>29.939</v>
      </c>
      <c r="AO45" s="5">
        <v>29.95</v>
      </c>
      <c r="AP45" s="5">
        <v>29.94</v>
      </c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>
        <v>29.942</v>
      </c>
      <c r="BB45" s="5">
        <v>29.943999999999999</v>
      </c>
      <c r="BC45" s="5">
        <v>29.948</v>
      </c>
      <c r="BD45" s="5">
        <v>29.951000000000001</v>
      </c>
      <c r="BE45" s="5">
        <v>29.943999999999999</v>
      </c>
      <c r="BF45" s="5"/>
      <c r="BG45" s="5"/>
      <c r="BH45" s="5"/>
      <c r="BI45" s="5"/>
      <c r="BJ45" s="5"/>
      <c r="BK45" s="5">
        <v>29.939</v>
      </c>
      <c r="BL45" s="5">
        <v>29.937000000000001</v>
      </c>
      <c r="BM45" s="5">
        <v>29.943000000000001</v>
      </c>
      <c r="BN45" s="5">
        <v>29.937999999999999</v>
      </c>
      <c r="BO45" s="5">
        <v>29.942</v>
      </c>
      <c r="BP45" s="5">
        <v>29.94</v>
      </c>
      <c r="BQ45" s="5">
        <v>29.939</v>
      </c>
      <c r="BR45" s="5">
        <v>29.940999999999999</v>
      </c>
      <c r="BS45" s="5">
        <v>29.94</v>
      </c>
      <c r="BT45" s="5">
        <v>29.940999999999999</v>
      </c>
      <c r="BU45" s="5"/>
      <c r="BV45" s="5"/>
      <c r="BW45" s="5"/>
      <c r="BX45" s="5"/>
      <c r="BY45" s="5"/>
      <c r="BZ45" s="5">
        <v>29.943999999999999</v>
      </c>
      <c r="CA45" s="5">
        <v>29.940999999999999</v>
      </c>
      <c r="CB45" s="5">
        <v>29.942</v>
      </c>
      <c r="CC45" s="5">
        <v>29.943999999999999</v>
      </c>
      <c r="CD45" s="5">
        <v>29.943000000000001</v>
      </c>
      <c r="CE45" s="5"/>
      <c r="CF45" s="5"/>
      <c r="CG45" s="5"/>
      <c r="CH45" s="5"/>
      <c r="CI45" s="5"/>
      <c r="CJ45" s="5">
        <v>29.940999999999999</v>
      </c>
      <c r="CK45" s="5">
        <v>29.939</v>
      </c>
      <c r="CL45" s="5">
        <v>29.939</v>
      </c>
      <c r="CM45" s="5">
        <v>29.94</v>
      </c>
      <c r="CN45" s="5">
        <v>29.940999999999999</v>
      </c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>
        <v>29.940999999999999</v>
      </c>
      <c r="DE45" s="5">
        <v>29.939</v>
      </c>
      <c r="DF45" s="5">
        <v>29.940999999999999</v>
      </c>
      <c r="DG45" s="5">
        <v>29.943000000000001</v>
      </c>
      <c r="DH45" s="5">
        <v>29.94</v>
      </c>
      <c r="DI45" s="5">
        <v>29.94</v>
      </c>
      <c r="DJ45" s="5">
        <v>29.939</v>
      </c>
      <c r="DK45" s="5">
        <v>29.937999999999999</v>
      </c>
      <c r="DL45" s="5">
        <v>29.94</v>
      </c>
      <c r="DM45" s="5">
        <v>29.94</v>
      </c>
      <c r="DN45" s="5">
        <v>29.942</v>
      </c>
      <c r="DO45" s="5">
        <v>29.937999999999999</v>
      </c>
      <c r="DP45" s="5">
        <v>29.939</v>
      </c>
      <c r="DQ45" s="5">
        <v>29.94</v>
      </c>
      <c r="DR45" s="5">
        <v>29.943000000000001</v>
      </c>
      <c r="DS45" s="5">
        <v>29.943000000000001</v>
      </c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>
        <v>29.942</v>
      </c>
      <c r="HI45" s="5">
        <v>29.943000000000001</v>
      </c>
      <c r="HJ45" s="5">
        <v>29.942</v>
      </c>
      <c r="HK45" s="5">
        <v>29.943000000000001</v>
      </c>
      <c r="HL45" s="5">
        <v>29.945</v>
      </c>
      <c r="HM45" s="13">
        <v>29.942</v>
      </c>
      <c r="HN45" s="14">
        <v>29.943999999999999</v>
      </c>
      <c r="HO45" s="14">
        <v>29.942</v>
      </c>
      <c r="HP45" s="14">
        <v>29.945</v>
      </c>
      <c r="HQ45" s="14"/>
      <c r="HR45" s="14"/>
      <c r="HS45" s="14"/>
      <c r="HT45" s="14"/>
      <c r="HU45" s="14"/>
      <c r="HV45" s="14"/>
      <c r="HW45" s="14"/>
      <c r="HX45" s="11"/>
      <c r="HY45" s="11"/>
      <c r="HZ45" s="11"/>
      <c r="IA45" s="11"/>
      <c r="IB45" s="11"/>
      <c r="IC45" s="11"/>
      <c r="ID45" s="11"/>
      <c r="IE45" s="11"/>
      <c r="IF45" s="11"/>
      <c r="IG45" s="11"/>
      <c r="IH45" s="14">
        <v>29.937000000000001</v>
      </c>
      <c r="II45" s="14">
        <v>29.943000000000001</v>
      </c>
      <c r="IJ45" s="14">
        <v>29.939</v>
      </c>
      <c r="IK45" s="14">
        <v>29.94</v>
      </c>
      <c r="IL45" s="14">
        <v>29.946999999999999</v>
      </c>
      <c r="IM45" s="14">
        <v>29.946000000000002</v>
      </c>
      <c r="IN45" s="14">
        <v>29.963000000000001</v>
      </c>
      <c r="IO45" s="14">
        <v>29.939</v>
      </c>
      <c r="IP45" s="14">
        <v>29.946000000000002</v>
      </c>
      <c r="IQ45" s="14">
        <v>29.943999999999999</v>
      </c>
      <c r="IR45" s="14">
        <v>29.949000000000002</v>
      </c>
      <c r="IS45" s="14">
        <v>29.95</v>
      </c>
      <c r="IT45" s="14">
        <v>29.946999999999999</v>
      </c>
      <c r="IU45" s="14">
        <v>29.949000000000002</v>
      </c>
      <c r="IV45" s="14">
        <v>29.951000000000001</v>
      </c>
      <c r="IW45" s="14">
        <v>29.954000000000001</v>
      </c>
      <c r="IX45" s="14">
        <v>29.937999999999999</v>
      </c>
      <c r="IY45" s="14">
        <v>29.94</v>
      </c>
      <c r="IZ45" s="14">
        <v>29.940999999999999</v>
      </c>
      <c r="JA45" s="14">
        <v>29.946999999999999</v>
      </c>
      <c r="JB45" s="14">
        <v>29.940999999999999</v>
      </c>
      <c r="JC45" s="14">
        <v>29.943999999999999</v>
      </c>
      <c r="JD45" s="14">
        <v>29.937999999999999</v>
      </c>
      <c r="JE45" s="14">
        <v>29.937000000000001</v>
      </c>
      <c r="JF45" s="14">
        <v>29.939</v>
      </c>
      <c r="JG45" s="14">
        <v>29.937000000000001</v>
      </c>
      <c r="JH45" s="14">
        <v>29.939</v>
      </c>
      <c r="JI45" s="14">
        <v>29.94</v>
      </c>
      <c r="JJ45" s="14">
        <v>9.9410000000000007</v>
      </c>
      <c r="JK45" s="14">
        <v>2.944</v>
      </c>
      <c r="JL45" s="14">
        <v>29.942</v>
      </c>
      <c r="JM45" s="14">
        <v>29.94</v>
      </c>
      <c r="JN45" s="14">
        <v>29.939</v>
      </c>
      <c r="JO45" s="14">
        <v>29.940999999999999</v>
      </c>
      <c r="JP45" s="14">
        <v>29.939</v>
      </c>
      <c r="JQ45" s="14">
        <v>29.942</v>
      </c>
      <c r="JR45" s="14">
        <v>29.946999999999999</v>
      </c>
      <c r="JS45" s="14">
        <v>29.946000000000002</v>
      </c>
      <c r="JT45" s="14">
        <v>29.943999999999999</v>
      </c>
      <c r="JU45" s="14">
        <v>29.946000000000002</v>
      </c>
      <c r="JV45" s="14">
        <v>29.942</v>
      </c>
      <c r="JW45" s="14">
        <v>29.946000000000002</v>
      </c>
      <c r="JX45" s="14">
        <v>29.945</v>
      </c>
      <c r="JY45" s="14">
        <v>29.943000000000001</v>
      </c>
      <c r="JZ45" s="14">
        <v>29.940999999999999</v>
      </c>
      <c r="KA45" s="14">
        <v>29.939</v>
      </c>
      <c r="KB45" s="14">
        <v>29.940999999999999</v>
      </c>
      <c r="KC45" s="14">
        <v>29.937000000000001</v>
      </c>
      <c r="KD45" s="14">
        <v>29.943000000000001</v>
      </c>
      <c r="KE45" s="14">
        <v>29.943999999999999</v>
      </c>
      <c r="KF45" s="14">
        <v>29.942</v>
      </c>
      <c r="KG45" s="14">
        <v>29.943999999999999</v>
      </c>
      <c r="KH45" s="14">
        <v>29.943000000000001</v>
      </c>
      <c r="KI45" s="14">
        <v>29.945</v>
      </c>
      <c r="KJ45" s="14">
        <v>29.946000000000002</v>
      </c>
      <c r="KK45" s="14">
        <v>29.946000000000002</v>
      </c>
      <c r="KL45" s="14">
        <v>29.943999999999999</v>
      </c>
      <c r="KM45" s="14">
        <v>29.945</v>
      </c>
      <c r="KN45" s="14">
        <v>29.943999999999999</v>
      </c>
      <c r="KO45" s="14">
        <v>29.943000000000001</v>
      </c>
      <c r="KP45" s="14"/>
      <c r="KQ45" s="14"/>
      <c r="KR45" s="14"/>
      <c r="KS45" s="14"/>
      <c r="KT45" s="14"/>
      <c r="KU45" s="14"/>
      <c r="KV45" s="14"/>
      <c r="KW45" s="14"/>
      <c r="KX45" s="14"/>
      <c r="KY45" s="14"/>
      <c r="KZ45" s="14"/>
      <c r="LA45" s="14"/>
      <c r="LB45" s="14"/>
      <c r="LC45" s="14"/>
      <c r="LD45" s="14"/>
      <c r="LE45" s="14"/>
      <c r="LF45" s="14"/>
      <c r="LG45" s="14"/>
      <c r="LH45" s="14"/>
      <c r="LI45" s="14"/>
      <c r="LJ45" s="12">
        <f t="shared" si="2"/>
        <v>30</v>
      </c>
      <c r="LK45" s="6">
        <f t="shared" si="3"/>
        <v>29.943533333333335</v>
      </c>
      <c r="LL45" s="2">
        <f t="shared" si="4"/>
        <v>3.1374636509322604E-3</v>
      </c>
      <c r="LM45" s="7">
        <f t="shared" si="5"/>
        <v>0.84994344583867809</v>
      </c>
      <c r="LN45" s="7">
        <f t="shared" si="6"/>
        <v>0.89952348017920947</v>
      </c>
      <c r="LO45" s="7">
        <f t="shared" si="8"/>
        <v>0.80036341149814672</v>
      </c>
      <c r="LP45" s="7">
        <f t="shared" si="0"/>
        <v>0.80036341149814672</v>
      </c>
    </row>
    <row r="46" spans="1:328" ht="30" customHeight="1">
      <c r="A46" s="2" t="s">
        <v>48</v>
      </c>
      <c r="B46" s="2" t="s">
        <v>63</v>
      </c>
      <c r="C46" s="2" t="s">
        <v>64</v>
      </c>
      <c r="D46" s="2" t="s">
        <v>65</v>
      </c>
      <c r="E46" s="5">
        <v>10.06</v>
      </c>
      <c r="F46" s="5">
        <v>10.039999999999999</v>
      </c>
      <c r="G46" s="5">
        <f t="shared" si="1"/>
        <v>10.050000000000001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>
        <v>10.045999999999999</v>
      </c>
      <c r="AC46" s="5">
        <v>10.048999999999999</v>
      </c>
      <c r="AD46" s="5">
        <v>10.052</v>
      </c>
      <c r="AE46" s="5">
        <v>10.047000000000001</v>
      </c>
      <c r="AF46" s="5">
        <v>10.047000000000001</v>
      </c>
      <c r="AG46" s="5">
        <v>10.048</v>
      </c>
      <c r="AH46" s="5">
        <v>10.047000000000001</v>
      </c>
      <c r="AI46" s="5">
        <v>10.050000000000001</v>
      </c>
      <c r="AJ46" s="5">
        <v>10.048</v>
      </c>
      <c r="AK46" s="5">
        <v>10.045999999999999</v>
      </c>
      <c r="AL46" s="5">
        <v>10.047000000000001</v>
      </c>
      <c r="AM46" s="5">
        <v>10.042999999999999</v>
      </c>
      <c r="AN46" s="5">
        <v>10.050000000000001</v>
      </c>
      <c r="AO46" s="5">
        <v>10.044</v>
      </c>
      <c r="AP46" s="5">
        <v>10.047000000000001</v>
      </c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>
        <v>10.048999999999999</v>
      </c>
      <c r="BB46" s="5">
        <v>10.054</v>
      </c>
      <c r="BC46" s="5">
        <v>10.045999999999999</v>
      </c>
      <c r="BD46" s="5">
        <v>10.051</v>
      </c>
      <c r="BE46" s="5">
        <v>10.044</v>
      </c>
      <c r="BF46" s="5"/>
      <c r="BG46" s="5"/>
      <c r="BH46" s="5"/>
      <c r="BI46" s="5"/>
      <c r="BJ46" s="5"/>
      <c r="BK46" s="5">
        <v>10.051</v>
      </c>
      <c r="BL46" s="5">
        <v>10.047000000000001</v>
      </c>
      <c r="BM46" s="5">
        <v>10.042999999999999</v>
      </c>
      <c r="BN46" s="5">
        <v>10.053000000000001</v>
      </c>
      <c r="BO46" s="5">
        <v>10.048999999999999</v>
      </c>
      <c r="BP46" s="5">
        <v>10.044</v>
      </c>
      <c r="BQ46" s="5">
        <v>10.045</v>
      </c>
      <c r="BR46" s="5">
        <v>10.042</v>
      </c>
      <c r="BS46" s="5">
        <v>10.042999999999999</v>
      </c>
      <c r="BT46" s="5">
        <v>10.042999999999999</v>
      </c>
      <c r="BU46" s="5"/>
      <c r="BV46" s="5"/>
      <c r="BW46" s="5"/>
      <c r="BX46" s="5"/>
      <c r="BY46" s="5"/>
      <c r="BZ46" s="5">
        <v>10.048</v>
      </c>
      <c r="CA46" s="5">
        <v>10.048999999999999</v>
      </c>
      <c r="CB46" s="5">
        <v>10.045999999999999</v>
      </c>
      <c r="CC46" s="5">
        <v>10.047000000000001</v>
      </c>
      <c r="CD46" s="5">
        <v>10.048999999999999</v>
      </c>
      <c r="CE46" s="5"/>
      <c r="CF46" s="5"/>
      <c r="CG46" s="5"/>
      <c r="CH46" s="5"/>
      <c r="CI46" s="5"/>
      <c r="CJ46" s="5">
        <v>10.050000000000001</v>
      </c>
      <c r="CK46" s="5">
        <v>10.048999999999999</v>
      </c>
      <c r="CL46" s="5">
        <v>10.048999999999999</v>
      </c>
      <c r="CM46" s="5">
        <v>10.050000000000001</v>
      </c>
      <c r="CN46" s="5">
        <v>10.045</v>
      </c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>
        <v>10.050000000000001</v>
      </c>
      <c r="DE46" s="5">
        <v>10.052</v>
      </c>
      <c r="DF46" s="5">
        <v>10.054</v>
      </c>
      <c r="DG46" s="5">
        <v>10.055999999999999</v>
      </c>
      <c r="DH46" s="5">
        <v>10.053000000000001</v>
      </c>
      <c r="DI46" s="5">
        <v>10.052</v>
      </c>
      <c r="DJ46" s="5">
        <v>10.050000000000001</v>
      </c>
      <c r="DK46" s="5">
        <v>10.050000000000001</v>
      </c>
      <c r="DL46" s="5">
        <v>10.053000000000001</v>
      </c>
      <c r="DM46" s="5">
        <v>10.054</v>
      </c>
      <c r="DN46" s="5">
        <v>10.048999999999999</v>
      </c>
      <c r="DO46" s="5">
        <v>10.052</v>
      </c>
      <c r="DP46" s="5">
        <v>10.051</v>
      </c>
      <c r="DQ46" s="5">
        <v>10.053000000000001</v>
      </c>
      <c r="DR46" s="5">
        <v>10.054</v>
      </c>
      <c r="DS46" s="5">
        <v>10.054</v>
      </c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>
        <v>10.055999999999999</v>
      </c>
      <c r="HI46" s="5">
        <v>10.052</v>
      </c>
      <c r="HJ46" s="5">
        <v>10.048999999999999</v>
      </c>
      <c r="HK46" s="5">
        <v>10.051</v>
      </c>
      <c r="HL46" s="5">
        <v>10.058</v>
      </c>
      <c r="HM46" s="13">
        <v>10.058999999999999</v>
      </c>
      <c r="HN46" s="14">
        <v>10.058999999999999</v>
      </c>
      <c r="HO46" s="14">
        <v>10.057</v>
      </c>
      <c r="HP46" s="14">
        <v>10.058999999999999</v>
      </c>
      <c r="HQ46" s="14"/>
      <c r="HR46" s="14"/>
      <c r="HS46" s="14"/>
      <c r="HT46" s="14"/>
      <c r="HU46" s="14"/>
      <c r="HV46" s="14"/>
      <c r="HW46" s="14"/>
      <c r="HX46" s="11"/>
      <c r="HY46" s="11"/>
      <c r="HZ46" s="11"/>
      <c r="IA46" s="11"/>
      <c r="IB46" s="11"/>
      <c r="IC46" s="11"/>
      <c r="ID46" s="11"/>
      <c r="IE46" s="11"/>
      <c r="IF46" s="11"/>
      <c r="IG46" s="11"/>
      <c r="IH46" s="14">
        <v>10.042</v>
      </c>
      <c r="II46" s="14">
        <v>10.053000000000001</v>
      </c>
      <c r="IJ46" s="14">
        <v>10.048999999999999</v>
      </c>
      <c r="IK46" s="14">
        <v>10.050000000000001</v>
      </c>
      <c r="IL46" s="14">
        <v>10.052</v>
      </c>
      <c r="IM46" s="14">
        <v>10.058</v>
      </c>
      <c r="IN46" s="14">
        <v>10.057</v>
      </c>
      <c r="IO46" s="14">
        <v>10.057</v>
      </c>
      <c r="IP46" s="14">
        <v>10.058</v>
      </c>
      <c r="IQ46" s="14">
        <v>10.058999999999999</v>
      </c>
      <c r="IR46" s="14">
        <v>10.053000000000001</v>
      </c>
      <c r="IS46" s="14">
        <v>10.055</v>
      </c>
      <c r="IT46" s="14">
        <v>10.057</v>
      </c>
      <c r="IU46" s="14">
        <v>10.053000000000001</v>
      </c>
      <c r="IV46" s="14">
        <v>10.054</v>
      </c>
      <c r="IW46" s="14">
        <v>10.045999999999999</v>
      </c>
      <c r="IX46" s="14">
        <v>10.048</v>
      </c>
      <c r="IY46" s="14">
        <v>10.047000000000001</v>
      </c>
      <c r="IZ46" s="14">
        <v>10.050000000000001</v>
      </c>
      <c r="JA46" s="14">
        <v>10.045</v>
      </c>
      <c r="JB46" s="14">
        <v>10.045</v>
      </c>
      <c r="JC46" s="14">
        <v>10.047000000000001</v>
      </c>
      <c r="JD46" s="14">
        <v>10.045999999999999</v>
      </c>
      <c r="JE46" s="14">
        <v>10.045</v>
      </c>
      <c r="JF46" s="14">
        <v>10.045999999999999</v>
      </c>
      <c r="JG46" s="14">
        <v>10.042999999999999</v>
      </c>
      <c r="JH46" s="14">
        <v>10.045999999999999</v>
      </c>
      <c r="JI46" s="14">
        <v>10.042</v>
      </c>
      <c r="JJ46" s="14">
        <v>10.045</v>
      </c>
      <c r="JK46" s="14">
        <v>10.048999999999999</v>
      </c>
      <c r="JL46" s="14">
        <v>10.045</v>
      </c>
      <c r="JM46" s="14">
        <v>10.047000000000001</v>
      </c>
      <c r="JN46" s="14">
        <v>10.055</v>
      </c>
      <c r="JO46" s="14">
        <v>10.048999999999999</v>
      </c>
      <c r="JP46" s="14">
        <v>10.048</v>
      </c>
      <c r="JQ46" s="14">
        <v>10.041</v>
      </c>
      <c r="JR46" s="14">
        <v>10.042999999999999</v>
      </c>
      <c r="JS46" s="14">
        <v>10.039999999999999</v>
      </c>
      <c r="JT46" s="14">
        <v>10.041</v>
      </c>
      <c r="JU46" s="14">
        <v>10.044</v>
      </c>
      <c r="JV46" s="14">
        <v>10.055</v>
      </c>
      <c r="JW46" s="14">
        <v>10.047000000000001</v>
      </c>
      <c r="JX46" s="14">
        <v>10.053000000000001</v>
      </c>
      <c r="JY46" s="14">
        <v>10.050000000000001</v>
      </c>
      <c r="JZ46" s="14">
        <v>10.051</v>
      </c>
      <c r="KA46" s="14">
        <v>10.041</v>
      </c>
      <c r="KB46" s="14">
        <v>10.042</v>
      </c>
      <c r="KC46" s="14">
        <v>10.041</v>
      </c>
      <c r="KD46" s="14">
        <v>10.042999999999999</v>
      </c>
      <c r="KE46" s="14">
        <v>10.039999999999999</v>
      </c>
      <c r="KF46" s="14">
        <v>10.045</v>
      </c>
      <c r="KG46" s="14">
        <v>10.048999999999999</v>
      </c>
      <c r="KH46" s="14">
        <v>10.050000000000001</v>
      </c>
      <c r="KI46" s="14">
        <v>10.052</v>
      </c>
      <c r="KJ46" s="14">
        <v>10.048999999999999</v>
      </c>
      <c r="KK46" s="14">
        <v>10.052</v>
      </c>
      <c r="KL46" s="14">
        <v>10.051</v>
      </c>
      <c r="KM46" s="14">
        <v>10.052</v>
      </c>
      <c r="KN46" s="14">
        <v>10.054</v>
      </c>
      <c r="KO46" s="14">
        <v>10.055</v>
      </c>
      <c r="KP46" s="14"/>
      <c r="KQ46" s="14"/>
      <c r="KR46" s="14"/>
      <c r="KS46" s="14"/>
      <c r="KT46" s="14"/>
      <c r="KU46" s="14"/>
      <c r="KV46" s="14"/>
      <c r="KW46" s="14"/>
      <c r="KX46" s="14"/>
      <c r="KY46" s="14"/>
      <c r="KZ46" s="14"/>
      <c r="LA46" s="14"/>
      <c r="LB46" s="14"/>
      <c r="LC46" s="14"/>
      <c r="LD46" s="14"/>
      <c r="LE46" s="14"/>
      <c r="LF46" s="14"/>
      <c r="LG46" s="14"/>
      <c r="LH46" s="14"/>
      <c r="LI46" s="14"/>
      <c r="LJ46" s="12"/>
      <c r="LK46" s="6"/>
      <c r="LL46" s="2"/>
      <c r="LM46" s="7"/>
      <c r="LN46" s="7"/>
      <c r="LO46" s="7"/>
      <c r="LP46" s="7"/>
    </row>
    <row r="47" spans="1:328" ht="30" customHeight="1">
      <c r="A47" s="2" t="s">
        <v>48</v>
      </c>
      <c r="B47" s="2" t="s">
        <v>61</v>
      </c>
      <c r="C47" s="2" t="s">
        <v>66</v>
      </c>
      <c r="D47" s="2" t="s">
        <v>52</v>
      </c>
      <c r="E47" s="5">
        <v>29.952000000000002</v>
      </c>
      <c r="F47" s="5">
        <v>29.936</v>
      </c>
      <c r="G47" s="5">
        <f t="shared" si="1"/>
        <v>29.944000000000003</v>
      </c>
      <c r="H47" s="5"/>
      <c r="I47" s="5"/>
      <c r="J47" s="5"/>
      <c r="K47" s="5"/>
      <c r="L47" s="5"/>
      <c r="M47" s="5">
        <v>29.943000000000001</v>
      </c>
      <c r="N47" s="5">
        <v>29.943999999999999</v>
      </c>
      <c r="O47" s="5">
        <v>29.942</v>
      </c>
      <c r="P47" s="5">
        <v>29.943999999999999</v>
      </c>
      <c r="Q47" s="5">
        <v>29.943000000000001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29.940999999999999</v>
      </c>
      <c r="AC47" s="5">
        <v>29.945</v>
      </c>
      <c r="AD47" s="5">
        <v>29.943000000000001</v>
      </c>
      <c r="AE47" s="5">
        <v>29.94</v>
      </c>
      <c r="AF47" s="5">
        <v>29.937999999999999</v>
      </c>
      <c r="AG47" s="5">
        <v>29.940999999999999</v>
      </c>
      <c r="AH47" s="5">
        <v>29.943000000000001</v>
      </c>
      <c r="AI47" s="5">
        <v>29.942</v>
      </c>
      <c r="AJ47" s="5">
        <v>29.943999999999999</v>
      </c>
      <c r="AK47" s="5">
        <v>29.940999999999999</v>
      </c>
      <c r="AL47" s="5">
        <v>29.94</v>
      </c>
      <c r="AM47" s="5">
        <v>29.943999999999999</v>
      </c>
      <c r="AN47" s="5">
        <v>29.951000000000001</v>
      </c>
      <c r="AO47" s="5">
        <v>29.946000000000002</v>
      </c>
      <c r="AP47" s="5">
        <v>29.951000000000001</v>
      </c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>
        <v>29.940999999999999</v>
      </c>
      <c r="BL47" s="5">
        <v>29.945</v>
      </c>
      <c r="BM47" s="5">
        <v>29.939</v>
      </c>
      <c r="BN47" s="5">
        <v>29.940999999999999</v>
      </c>
      <c r="BO47" s="5">
        <v>29.943000000000001</v>
      </c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>
        <v>29.946000000000002</v>
      </c>
      <c r="CA47" s="5">
        <v>29.943999999999999</v>
      </c>
      <c r="CB47" s="5">
        <v>29.948</v>
      </c>
      <c r="CC47" s="5">
        <v>29.945</v>
      </c>
      <c r="CD47" s="5">
        <v>29.948</v>
      </c>
      <c r="CE47" s="5">
        <v>38.048000000000002</v>
      </c>
      <c r="CF47" s="5">
        <v>38.042999999999999</v>
      </c>
      <c r="CG47" s="5">
        <v>38.045000000000002</v>
      </c>
      <c r="CH47" s="5">
        <v>38.042000000000002</v>
      </c>
      <c r="CI47" s="5">
        <v>38.040999999999997</v>
      </c>
      <c r="CJ47" s="5">
        <v>29.943999999999999</v>
      </c>
      <c r="CK47" s="5">
        <v>29.939</v>
      </c>
      <c r="CL47" s="5">
        <v>29.942</v>
      </c>
      <c r="CM47" s="5">
        <v>29.943999999999999</v>
      </c>
      <c r="CN47" s="5">
        <v>29.939</v>
      </c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>
        <v>29.943000000000001</v>
      </c>
      <c r="DJ47" s="5">
        <v>29.942</v>
      </c>
      <c r="DK47" s="5">
        <v>29.943000000000001</v>
      </c>
      <c r="DL47" s="5">
        <v>29.940999999999999</v>
      </c>
      <c r="DM47" s="5">
        <v>29.940999999999999</v>
      </c>
      <c r="DN47" s="5">
        <v>29.937999999999999</v>
      </c>
      <c r="DO47" s="5">
        <v>29.939</v>
      </c>
      <c r="DP47" s="5">
        <v>29.943999999999999</v>
      </c>
      <c r="DQ47" s="5">
        <v>29.942</v>
      </c>
      <c r="DR47" s="5">
        <v>29.94</v>
      </c>
      <c r="DS47" s="5">
        <v>29.942</v>
      </c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>
        <v>29.94</v>
      </c>
      <c r="HI47" s="5">
        <v>29.942</v>
      </c>
      <c r="HJ47" s="5">
        <v>29.94</v>
      </c>
      <c r="HK47" s="5">
        <v>29.942</v>
      </c>
      <c r="HL47" s="5">
        <v>29.946000000000002</v>
      </c>
      <c r="HM47" s="13">
        <v>29.946999999999999</v>
      </c>
      <c r="HN47" s="14">
        <v>29.945</v>
      </c>
      <c r="HO47" s="14">
        <v>29.948</v>
      </c>
      <c r="HP47" s="14">
        <v>29.946999999999999</v>
      </c>
      <c r="HQ47" s="14"/>
      <c r="HR47" s="14"/>
      <c r="HS47" s="14"/>
      <c r="HT47" s="14"/>
      <c r="HU47" s="14"/>
      <c r="HV47" s="14"/>
      <c r="HW47" s="14"/>
      <c r="HX47" s="11"/>
      <c r="HY47" s="11"/>
      <c r="HZ47" s="11"/>
      <c r="IA47" s="11"/>
      <c r="IB47" s="11"/>
      <c r="IC47" s="11"/>
      <c r="ID47" s="11"/>
      <c r="IE47" s="11"/>
      <c r="IF47" s="11"/>
      <c r="IG47" s="11"/>
      <c r="IH47" s="14">
        <v>29.939</v>
      </c>
      <c r="II47" s="14">
        <v>29.940999999999999</v>
      </c>
      <c r="IJ47" s="14">
        <v>29.952000000000002</v>
      </c>
      <c r="IK47" s="14">
        <v>29.946000000000002</v>
      </c>
      <c r="IL47" s="14">
        <v>29.942</v>
      </c>
      <c r="IM47" s="14">
        <v>29.943000000000001</v>
      </c>
      <c r="IN47" s="14">
        <v>29.951000000000001</v>
      </c>
      <c r="IO47" s="14">
        <v>29.946000000000002</v>
      </c>
      <c r="IP47" s="14">
        <v>29.948</v>
      </c>
      <c r="IQ47" s="14">
        <v>29.946999999999999</v>
      </c>
      <c r="IR47" s="14">
        <v>29.94</v>
      </c>
      <c r="IS47" s="14">
        <v>29.943999999999999</v>
      </c>
      <c r="IT47" s="14">
        <v>29.942</v>
      </c>
      <c r="IU47" s="14">
        <v>29.94</v>
      </c>
      <c r="IV47" s="14">
        <v>29.946999999999999</v>
      </c>
      <c r="IW47" s="14"/>
      <c r="IX47" s="14"/>
      <c r="IY47" s="14"/>
      <c r="IZ47" s="14"/>
      <c r="JA47" s="14"/>
      <c r="JB47" s="14">
        <v>29.943000000000001</v>
      </c>
      <c r="JC47" s="14">
        <v>29.940999999999999</v>
      </c>
      <c r="JD47" s="14">
        <v>29.943999999999999</v>
      </c>
      <c r="JE47" s="14">
        <v>299.94200000000001</v>
      </c>
      <c r="JF47" s="14">
        <v>29.940999999999999</v>
      </c>
      <c r="JG47" s="14">
        <v>29.945</v>
      </c>
      <c r="JH47" s="14">
        <v>29.942</v>
      </c>
      <c r="JI47" s="14">
        <v>29.94</v>
      </c>
      <c r="JJ47" s="14">
        <v>29.943999999999999</v>
      </c>
      <c r="JK47" s="14">
        <v>29.943000000000001</v>
      </c>
      <c r="JL47" s="14"/>
      <c r="JM47" s="14"/>
      <c r="JN47" s="14"/>
      <c r="JO47" s="14"/>
      <c r="JP47" s="14"/>
      <c r="JQ47" s="14"/>
      <c r="JR47" s="14"/>
      <c r="JS47" s="14"/>
      <c r="JT47" s="14"/>
      <c r="JU47" s="14"/>
      <c r="JV47" s="14"/>
      <c r="JW47" s="14"/>
      <c r="JX47" s="14"/>
      <c r="JY47" s="14"/>
      <c r="JZ47" s="14"/>
      <c r="KA47" s="14"/>
      <c r="KB47" s="14"/>
      <c r="KC47" s="14"/>
      <c r="KD47" s="14"/>
      <c r="KE47" s="14"/>
      <c r="KF47" s="14">
        <v>29.943999999999999</v>
      </c>
      <c r="KG47" s="14">
        <v>29.940999999999999</v>
      </c>
      <c r="KH47" s="14">
        <v>29.946000000000002</v>
      </c>
      <c r="KI47" s="14">
        <v>29.949000000000002</v>
      </c>
      <c r="KJ47" s="14">
        <v>29.945</v>
      </c>
      <c r="KK47" s="14">
        <v>29.943000000000001</v>
      </c>
      <c r="KL47" s="14">
        <v>29.940999999999999</v>
      </c>
      <c r="KM47" s="14">
        <v>29.94</v>
      </c>
      <c r="KN47" s="14">
        <v>29.942</v>
      </c>
      <c r="KO47" s="14">
        <v>29.943999999999999</v>
      </c>
      <c r="KP47" s="14"/>
      <c r="KQ47" s="14"/>
      <c r="KR47" s="14"/>
      <c r="KS47" s="14"/>
      <c r="KT47" s="14"/>
      <c r="KU47" s="14"/>
      <c r="KV47" s="14"/>
      <c r="KW47" s="14"/>
      <c r="KX47" s="14"/>
      <c r="KY47" s="14"/>
      <c r="KZ47" s="14"/>
      <c r="LA47" s="14"/>
      <c r="LB47" s="14"/>
      <c r="LC47" s="14"/>
      <c r="LD47" s="14"/>
      <c r="LE47" s="14"/>
      <c r="LF47" s="14"/>
      <c r="LG47" s="14"/>
      <c r="LH47" s="14"/>
      <c r="LI47" s="14"/>
      <c r="LJ47" s="12">
        <f>COUNT(H49:CD49)</f>
        <v>34</v>
      </c>
      <c r="LK47" s="6">
        <f>AVERAGE(H49:CD49)</f>
        <v>36.46876470588235</v>
      </c>
      <c r="LL47" s="2">
        <f>STDEVA(H49:CD49)</f>
        <v>6.1643530160011419</v>
      </c>
      <c r="LM47" s="7">
        <f>(E49-F49)/(6*LL47)</f>
        <v>6.759292752786828E-4</v>
      </c>
      <c r="LN47" s="7">
        <f>(E49-LK47)/(3*LL47)</f>
        <v>2.4460687655964942E-3</v>
      </c>
      <c r="LO47" s="7">
        <f>(LK47-F49)/(3*LL47)</f>
        <v>-1.0942102150391286E-3</v>
      </c>
      <c r="LP47" s="7">
        <f t="shared" si="0"/>
        <v>-1.0942102150391286E-3</v>
      </c>
    </row>
    <row r="48" spans="1:328" ht="30" customHeight="1">
      <c r="A48" s="2" t="s">
        <v>48</v>
      </c>
      <c r="B48" s="2" t="s">
        <v>61</v>
      </c>
      <c r="C48" s="2" t="s">
        <v>66</v>
      </c>
      <c r="D48" s="2" t="s">
        <v>52</v>
      </c>
      <c r="E48" s="10"/>
      <c r="F48" s="10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36.476999999999997</v>
      </c>
      <c r="BB48" s="5">
        <v>36.473999999999997</v>
      </c>
      <c r="BC48" s="5">
        <v>36.475999999999999</v>
      </c>
      <c r="BD48" s="5">
        <v>36.481999999999999</v>
      </c>
      <c r="BE48" s="5">
        <v>36.484000000000002</v>
      </c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13"/>
      <c r="HN48" s="14"/>
      <c r="HO48" s="14"/>
      <c r="HP48" s="14"/>
      <c r="HQ48" s="14"/>
      <c r="HR48" s="14"/>
      <c r="HS48" s="14"/>
      <c r="HT48" s="14"/>
      <c r="HU48" s="14"/>
      <c r="HV48" s="14"/>
      <c r="HW48" s="14"/>
      <c r="HX48" s="11"/>
      <c r="HY48" s="11"/>
      <c r="HZ48" s="11"/>
      <c r="IA48" s="11"/>
      <c r="IB48" s="11"/>
      <c r="IC48" s="11"/>
      <c r="ID48" s="11"/>
      <c r="IE48" s="11"/>
      <c r="IF48" s="11"/>
      <c r="IG48" s="11"/>
      <c r="IH48" s="14"/>
      <c r="II48" s="14"/>
      <c r="IJ48" s="14"/>
      <c r="IK48" s="14"/>
      <c r="IL48" s="14"/>
      <c r="IM48" s="14"/>
      <c r="IN48" s="14"/>
      <c r="IO48" s="14"/>
      <c r="IP48" s="14"/>
      <c r="IQ48" s="14"/>
      <c r="IR48" s="14"/>
      <c r="IS48" s="14"/>
      <c r="IT48" s="14"/>
      <c r="IU48" s="14"/>
      <c r="IV48" s="14"/>
      <c r="IW48" s="14"/>
      <c r="IX48" s="14"/>
      <c r="IY48" s="14"/>
      <c r="IZ48" s="14"/>
      <c r="JA48" s="14"/>
      <c r="JB48" s="14"/>
      <c r="JC48" s="14"/>
      <c r="JD48" s="14"/>
      <c r="JE48" s="14"/>
      <c r="JF48" s="14"/>
      <c r="JG48" s="14"/>
      <c r="JH48" s="14"/>
      <c r="JI48" s="14"/>
      <c r="JJ48" s="14"/>
      <c r="JK48" s="14"/>
      <c r="JL48" s="14"/>
      <c r="JM48" s="14"/>
      <c r="JN48" s="14"/>
      <c r="JO48" s="14"/>
      <c r="JP48" s="14"/>
      <c r="JQ48" s="14"/>
      <c r="JR48" s="14"/>
      <c r="JS48" s="14"/>
      <c r="JT48" s="14"/>
      <c r="JU48" s="14"/>
      <c r="JV48" s="14"/>
      <c r="JW48" s="14"/>
      <c r="JX48" s="14"/>
      <c r="JY48" s="14"/>
      <c r="JZ48" s="14"/>
      <c r="KA48" s="14"/>
      <c r="KB48" s="14"/>
      <c r="KC48" s="14"/>
      <c r="KD48" s="14"/>
      <c r="KE48" s="14"/>
      <c r="KF48" s="14"/>
      <c r="KG48" s="14"/>
      <c r="KH48" s="14"/>
      <c r="KI48" s="14"/>
      <c r="KJ48" s="14"/>
      <c r="KK48" s="14"/>
      <c r="KL48" s="14"/>
      <c r="KM48" s="14"/>
      <c r="KN48" s="14"/>
      <c r="KO48" s="14"/>
      <c r="KP48" s="14"/>
      <c r="KQ48" s="14"/>
      <c r="KR48" s="14"/>
      <c r="KS48" s="14"/>
      <c r="KT48" s="14"/>
      <c r="KU48" s="14"/>
      <c r="KV48" s="14"/>
      <c r="KW48" s="14"/>
      <c r="KX48" s="14"/>
      <c r="KY48" s="14"/>
      <c r="KZ48" s="14"/>
      <c r="LA48" s="14"/>
      <c r="LB48" s="14"/>
      <c r="LC48" s="14"/>
      <c r="LD48" s="14"/>
      <c r="LE48" s="14"/>
      <c r="LF48" s="14"/>
      <c r="LG48" s="14"/>
      <c r="LH48" s="14"/>
      <c r="LI48" s="14"/>
      <c r="LJ48" s="12">
        <f>COUNT(H50:CD50)</f>
        <v>29</v>
      </c>
      <c r="LK48" s="6">
        <f>AVERAGE(H50:CD50)</f>
        <v>36.4653103448276</v>
      </c>
      <c r="LL48" s="2">
        <f>STDEVA(H50:CD50)</f>
        <v>6.6576268962487308</v>
      </c>
      <c r="LM48" s="7">
        <f>(E50-F50)/(6*LL48)</f>
        <v>1.2516972583772022E-3</v>
      </c>
      <c r="LN48" s="7">
        <f>(E50-LK48)/(3*LL48)</f>
        <v>1.7368378509338472E-3</v>
      </c>
      <c r="LO48" s="7">
        <f>(LK48-F50)/(3*LL48)</f>
        <v>7.6655666582055727E-4</v>
      </c>
      <c r="LP48" s="7">
        <f t="shared" si="0"/>
        <v>7.6655666582055727E-4</v>
      </c>
    </row>
    <row r="49" spans="1:328" ht="30" customHeight="1">
      <c r="A49" s="2" t="s">
        <v>48</v>
      </c>
      <c r="B49" s="2" t="s">
        <v>67</v>
      </c>
      <c r="C49" s="2" t="s">
        <v>68</v>
      </c>
      <c r="D49" s="2" t="s">
        <v>33</v>
      </c>
      <c r="E49" s="5">
        <v>36.514000000000003</v>
      </c>
      <c r="F49" s="5">
        <v>36.488999999999997</v>
      </c>
      <c r="G49" s="5">
        <f t="shared" si="1"/>
        <v>36.5015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>
        <v>36.472999999999999</v>
      </c>
      <c r="AC49" s="5">
        <v>36.476999999999997</v>
      </c>
      <c r="AD49" s="5">
        <v>36.469000000000001</v>
      </c>
      <c r="AE49" s="5">
        <v>36.478000000000002</v>
      </c>
      <c r="AF49" s="5">
        <v>36.475999999999999</v>
      </c>
      <c r="AG49" s="5">
        <v>36.459000000000003</v>
      </c>
      <c r="AH49" s="5">
        <v>36.439</v>
      </c>
      <c r="AI49" s="5">
        <v>36.454000000000001</v>
      </c>
      <c r="AJ49" s="5">
        <v>36.457999999999998</v>
      </c>
      <c r="AK49" s="5">
        <v>36.465000000000003</v>
      </c>
      <c r="AL49" s="5">
        <v>36.49</v>
      </c>
      <c r="AM49" s="5">
        <v>36.470999999999997</v>
      </c>
      <c r="AN49" s="5" t="s">
        <v>101</v>
      </c>
      <c r="AO49" s="5">
        <v>36.472999999999999</v>
      </c>
      <c r="AP49" s="5">
        <v>36.451000000000001</v>
      </c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>
        <v>36.475000000000001</v>
      </c>
      <c r="BB49" s="5">
        <v>36.470999999999997</v>
      </c>
      <c r="BC49" s="5">
        <v>36.481999999999999</v>
      </c>
      <c r="BD49" s="5">
        <v>36.481000000000002</v>
      </c>
      <c r="BE49" s="5">
        <v>36.473999999999997</v>
      </c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>
        <v>36.468000000000004</v>
      </c>
      <c r="BQ49" s="5">
        <v>36.466999999999999</v>
      </c>
      <c r="BR49" s="5">
        <v>36.468000000000004</v>
      </c>
      <c r="BS49" s="5">
        <v>36.466999999999999</v>
      </c>
      <c r="BT49" s="5">
        <v>36.466999999999999</v>
      </c>
      <c r="BU49" s="5">
        <v>36.47</v>
      </c>
      <c r="BV49" s="5">
        <v>36.472000000000001</v>
      </c>
      <c r="BW49" s="5">
        <v>36.469000000000001</v>
      </c>
      <c r="BX49" s="5">
        <v>36.463999999999999</v>
      </c>
      <c r="BY49" s="5">
        <v>36.466000000000001</v>
      </c>
      <c r="BZ49" s="5">
        <v>36.469000000000001</v>
      </c>
      <c r="CA49" s="5">
        <v>36.466000000000001</v>
      </c>
      <c r="CB49" s="5">
        <v>36.47</v>
      </c>
      <c r="CC49" s="5">
        <v>36.469000000000001</v>
      </c>
      <c r="CD49" s="5">
        <v>36.47</v>
      </c>
      <c r="CE49" s="5"/>
      <c r="CF49" s="5"/>
      <c r="CG49" s="5"/>
      <c r="CH49" s="5"/>
      <c r="CI49" s="5"/>
      <c r="CJ49" s="5">
        <v>36.462000000000003</v>
      </c>
      <c r="CK49" s="5">
        <v>36.46</v>
      </c>
      <c r="CL49" s="5">
        <v>36.462000000000003</v>
      </c>
      <c r="CM49" s="5">
        <v>36.463000000000001</v>
      </c>
      <c r="CN49" s="5">
        <v>36.460999999999999</v>
      </c>
      <c r="CO49" s="5"/>
      <c r="CP49" s="5"/>
      <c r="CQ49" s="5"/>
      <c r="CR49" s="5"/>
      <c r="CS49" s="5"/>
      <c r="CT49" s="5">
        <v>36.468000000000004</v>
      </c>
      <c r="CU49" s="5">
        <v>36.457000000000001</v>
      </c>
      <c r="CV49" s="5">
        <v>36.460999999999999</v>
      </c>
      <c r="CW49" s="5">
        <v>36.457000000000001</v>
      </c>
      <c r="CX49" s="5">
        <v>36.456000000000003</v>
      </c>
      <c r="CY49" s="5">
        <v>36.463000000000001</v>
      </c>
      <c r="CZ49" s="5">
        <v>36.463999999999999</v>
      </c>
      <c r="DA49" s="5">
        <v>36.463000000000001</v>
      </c>
      <c r="DB49" s="5">
        <v>36.463999999999999</v>
      </c>
      <c r="DC49" s="5">
        <v>36.466000000000001</v>
      </c>
      <c r="DD49" s="5">
        <v>36.459000000000003</v>
      </c>
      <c r="DE49" s="5">
        <v>36.462000000000003</v>
      </c>
      <c r="DF49" s="5">
        <v>36.466999999999999</v>
      </c>
      <c r="DG49" s="5">
        <v>36.463999999999999</v>
      </c>
      <c r="DH49" s="5">
        <v>36.466000000000001</v>
      </c>
      <c r="DI49" s="5">
        <v>36.462000000000003</v>
      </c>
      <c r="DJ49" s="5">
        <v>36.469000000000001</v>
      </c>
      <c r="DK49" s="5">
        <v>36.463999999999999</v>
      </c>
      <c r="DL49" s="5">
        <v>36.47</v>
      </c>
      <c r="DM49" s="5">
        <v>36.459000000000003</v>
      </c>
      <c r="DN49" s="5">
        <v>36.497999999999998</v>
      </c>
      <c r="DO49" s="5">
        <v>36.493000000000002</v>
      </c>
      <c r="DP49" s="5">
        <v>36.948</v>
      </c>
      <c r="DQ49" s="5">
        <v>36.497</v>
      </c>
      <c r="DR49" s="5">
        <v>36.497999999999998</v>
      </c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>
        <v>36.451000000000001</v>
      </c>
      <c r="HM49" s="13">
        <v>36.453000000000003</v>
      </c>
      <c r="HN49" s="14">
        <v>36.46</v>
      </c>
      <c r="HO49" s="14">
        <v>36.451999999999998</v>
      </c>
      <c r="HP49" s="14">
        <v>36.450000000000003</v>
      </c>
      <c r="HQ49" s="14"/>
      <c r="HR49" s="14"/>
      <c r="HS49" s="14"/>
      <c r="HT49" s="14"/>
      <c r="HU49" s="14"/>
      <c r="HV49" s="14"/>
      <c r="HW49" s="14"/>
      <c r="HX49" s="11"/>
      <c r="HY49" s="11"/>
      <c r="HZ49" s="11"/>
      <c r="IA49" s="11"/>
      <c r="IB49" s="11"/>
      <c r="IC49" s="11"/>
      <c r="ID49" s="11"/>
      <c r="IE49" s="11"/>
      <c r="IF49" s="11"/>
      <c r="IG49" s="11"/>
      <c r="IH49" s="14">
        <v>36.463999999999999</v>
      </c>
      <c r="II49" s="14">
        <v>36.466999999999999</v>
      </c>
      <c r="IJ49" s="14">
        <v>36.476999999999997</v>
      </c>
      <c r="IK49" s="14">
        <v>36.456000000000003</v>
      </c>
      <c r="IL49" s="14">
        <v>36.472999999999999</v>
      </c>
      <c r="IM49" s="14">
        <v>36.491</v>
      </c>
      <c r="IN49" s="14">
        <v>36.500999999999998</v>
      </c>
      <c r="IO49" s="14">
        <v>36.503</v>
      </c>
      <c r="IP49" s="14">
        <v>36.503</v>
      </c>
      <c r="IQ49" s="14">
        <v>36.496000000000002</v>
      </c>
      <c r="IR49" s="14">
        <v>36.457000000000001</v>
      </c>
      <c r="IS49" s="14">
        <v>36.459000000000003</v>
      </c>
      <c r="IT49" s="14">
        <v>36.462000000000003</v>
      </c>
      <c r="IU49" s="14">
        <v>36.460999999999999</v>
      </c>
      <c r="IV49" s="14">
        <v>36.46</v>
      </c>
      <c r="IW49" s="14">
        <v>36.457000000000001</v>
      </c>
      <c r="IX49" s="14">
        <v>36.459000000000003</v>
      </c>
      <c r="IY49" s="14">
        <v>36.460999999999999</v>
      </c>
      <c r="IZ49" s="14">
        <v>36.46</v>
      </c>
      <c r="JA49" s="14">
        <v>36.470999999999997</v>
      </c>
      <c r="JB49" s="14">
        <v>36.472000000000001</v>
      </c>
      <c r="JC49" s="14">
        <v>36.473999999999997</v>
      </c>
      <c r="JD49" s="14">
        <v>36.472999999999999</v>
      </c>
      <c r="JE49" s="14">
        <v>36.472000000000001</v>
      </c>
      <c r="JF49" s="14">
        <v>36.472999999999999</v>
      </c>
      <c r="JG49" s="14">
        <v>36.488999999999997</v>
      </c>
      <c r="JH49" s="14">
        <v>36.47</v>
      </c>
      <c r="JI49" s="14">
        <v>36.472000000000001</v>
      </c>
      <c r="JJ49" s="14">
        <v>36.473999999999997</v>
      </c>
      <c r="JK49" s="14">
        <v>36.472000000000001</v>
      </c>
      <c r="JL49" s="14">
        <v>36.466000000000001</v>
      </c>
      <c r="JM49" s="14">
        <v>36.472999999999999</v>
      </c>
      <c r="JN49" s="14">
        <v>36.470999999999997</v>
      </c>
      <c r="JO49" s="14">
        <v>36.466999999999999</v>
      </c>
      <c r="JP49" s="14">
        <v>36.469000000000001</v>
      </c>
      <c r="JQ49" s="14">
        <v>36.473999999999997</v>
      </c>
      <c r="JR49" s="14">
        <v>36.472999999999999</v>
      </c>
      <c r="JS49" s="14">
        <v>36.470999999999997</v>
      </c>
      <c r="JT49" s="14">
        <v>36.472000000000001</v>
      </c>
      <c r="JU49" s="14">
        <v>36.473999999999997</v>
      </c>
      <c r="JV49" s="14">
        <v>36.468000000000004</v>
      </c>
      <c r="JW49" s="14">
        <v>36.465000000000003</v>
      </c>
      <c r="JX49" s="14">
        <v>36.46</v>
      </c>
      <c r="JY49" s="14">
        <v>36.469000000000001</v>
      </c>
      <c r="JZ49" s="14">
        <v>36.468000000000004</v>
      </c>
      <c r="KA49" s="14">
        <v>36.463999999999999</v>
      </c>
      <c r="KB49" s="14">
        <v>36.465000000000003</v>
      </c>
      <c r="KC49" s="14">
        <v>36.462000000000003</v>
      </c>
      <c r="KD49" s="14">
        <v>36.46</v>
      </c>
      <c r="KE49" s="14">
        <v>36.462000000000003</v>
      </c>
      <c r="KF49" s="14">
        <v>36.46</v>
      </c>
      <c r="KG49" s="14">
        <v>36.465000000000003</v>
      </c>
      <c r="KH49" s="14">
        <v>36.463000000000001</v>
      </c>
      <c r="KI49" s="14">
        <v>36.460999999999999</v>
      </c>
      <c r="KJ49" s="14">
        <v>36.466999999999999</v>
      </c>
      <c r="KK49" s="14">
        <v>36.466000000000001</v>
      </c>
      <c r="KL49" s="14">
        <v>36.465000000000003</v>
      </c>
      <c r="KM49" s="14">
        <v>36.463000000000001</v>
      </c>
      <c r="KN49" s="14">
        <v>36.463999999999999</v>
      </c>
      <c r="KO49" s="14">
        <v>36.463999999999999</v>
      </c>
      <c r="KP49" s="14"/>
      <c r="KQ49" s="14"/>
      <c r="KR49" s="14"/>
      <c r="KS49" s="14"/>
      <c r="KT49" s="14"/>
      <c r="KU49" s="14"/>
      <c r="KV49" s="14"/>
      <c r="KW49" s="14"/>
      <c r="KX49" s="14"/>
      <c r="KY49" s="14"/>
      <c r="KZ49" s="14"/>
      <c r="LA49" s="14"/>
      <c r="LB49" s="14"/>
      <c r="LC49" s="14"/>
      <c r="LD49" s="14"/>
      <c r="LE49" s="14"/>
      <c r="LF49" s="14"/>
      <c r="LG49" s="14"/>
      <c r="LH49" s="14"/>
      <c r="LI49" s="14"/>
      <c r="LJ49" s="12"/>
      <c r="LK49" s="6"/>
      <c r="LL49" s="2"/>
      <c r="LM49" s="7"/>
      <c r="LN49" s="7"/>
      <c r="LO49" s="7"/>
      <c r="LP49" s="7"/>
    </row>
    <row r="50" spans="1:328" ht="30" customHeight="1">
      <c r="A50" s="2" t="s">
        <v>48</v>
      </c>
      <c r="B50" s="2" t="s">
        <v>67</v>
      </c>
      <c r="C50" s="2" t="s">
        <v>69</v>
      </c>
      <c r="D50" s="2" t="s">
        <v>33</v>
      </c>
      <c r="E50" s="5">
        <v>36.5</v>
      </c>
      <c r="F50" s="5">
        <v>36.450000000000003</v>
      </c>
      <c r="G50" s="5">
        <f t="shared" si="1"/>
        <v>36.475000000000001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>
        <v>36.475000000000001</v>
      </c>
      <c r="AC50" s="5">
        <v>36.465000000000003</v>
      </c>
      <c r="AD50" s="5">
        <v>36.472000000000001</v>
      </c>
      <c r="AE50" s="5">
        <v>36.473999999999997</v>
      </c>
      <c r="AF50" s="5">
        <v>36.470999999999997</v>
      </c>
      <c r="AG50" s="5"/>
      <c r="AH50" s="5"/>
      <c r="AI50" s="5"/>
      <c r="AJ50" s="5"/>
      <c r="AK50" s="5"/>
      <c r="AL50" s="5">
        <v>36.457000000000001</v>
      </c>
      <c r="AM50" s="5">
        <v>36.463000000000001</v>
      </c>
      <c r="AN50" s="5">
        <v>36.47</v>
      </c>
      <c r="AO50" s="5" t="s">
        <v>102</v>
      </c>
      <c r="AP50" s="5">
        <v>36.472000000000001</v>
      </c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>
        <v>36.47</v>
      </c>
      <c r="BL50" s="5">
        <v>36.463999999999999</v>
      </c>
      <c r="BM50" s="5">
        <v>36.468000000000004</v>
      </c>
      <c r="BN50" s="5">
        <v>36.470999999999997</v>
      </c>
      <c r="BO50" s="5">
        <v>36.457999999999998</v>
      </c>
      <c r="BP50" s="5">
        <v>36.459000000000003</v>
      </c>
      <c r="BQ50" s="5">
        <v>36.460999999999999</v>
      </c>
      <c r="BR50" s="5">
        <v>36.46</v>
      </c>
      <c r="BS50" s="5">
        <v>36.454999999999998</v>
      </c>
      <c r="BT50" s="5">
        <v>36.466000000000001</v>
      </c>
      <c r="BU50" s="5">
        <v>36.454999999999998</v>
      </c>
      <c r="BV50" s="5">
        <v>36.463999999999999</v>
      </c>
      <c r="BW50" s="5">
        <v>36.466999999999999</v>
      </c>
      <c r="BX50" s="5">
        <v>36.469000000000001</v>
      </c>
      <c r="BY50" s="5">
        <v>36.473999999999997</v>
      </c>
      <c r="BZ50" s="5">
        <v>36.465000000000003</v>
      </c>
      <c r="CA50" s="5">
        <v>36.468000000000004</v>
      </c>
      <c r="CB50" s="5">
        <v>36.46</v>
      </c>
      <c r="CC50" s="5">
        <v>36.462000000000003</v>
      </c>
      <c r="CD50" s="5">
        <v>36.459000000000003</v>
      </c>
      <c r="CE50" s="5"/>
      <c r="CF50" s="5"/>
      <c r="CG50" s="5"/>
      <c r="CH50" s="5"/>
      <c r="CI50" s="5"/>
      <c r="CJ50" s="5">
        <v>36.465000000000003</v>
      </c>
      <c r="CK50" s="5">
        <v>36.46</v>
      </c>
      <c r="CL50" s="5">
        <v>36.463999999999999</v>
      </c>
      <c r="CM50" s="5">
        <v>36.469000000000001</v>
      </c>
      <c r="CN50" s="5">
        <v>36.46</v>
      </c>
      <c r="CO50" s="5"/>
      <c r="CP50" s="5"/>
      <c r="CQ50" s="5"/>
      <c r="CR50" s="5"/>
      <c r="CS50" s="5"/>
      <c r="CT50" s="5">
        <v>36.465000000000003</v>
      </c>
      <c r="CU50" s="5">
        <v>36.454999999999998</v>
      </c>
      <c r="CV50" s="5">
        <v>36.457000000000001</v>
      </c>
      <c r="CW50" s="5">
        <v>36.46</v>
      </c>
      <c r="CX50" s="5">
        <v>36.459000000000003</v>
      </c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>
        <v>36.46</v>
      </c>
      <c r="DO50" s="5">
        <v>36.457000000000001</v>
      </c>
      <c r="DP50" s="5">
        <v>36.457999999999998</v>
      </c>
      <c r="DQ50" s="5">
        <v>36.465000000000003</v>
      </c>
      <c r="DR50" s="5">
        <v>36.463000000000001</v>
      </c>
      <c r="DS50" s="5">
        <v>36.466000000000001</v>
      </c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>
        <v>36.465000000000003</v>
      </c>
      <c r="HI50" s="5">
        <v>36.463999999999999</v>
      </c>
      <c r="HJ50" s="5">
        <v>36.466000000000001</v>
      </c>
      <c r="HK50" s="5">
        <v>36.466999999999999</v>
      </c>
      <c r="HL50" s="5">
        <v>36.46</v>
      </c>
      <c r="HM50" s="13">
        <v>36.463000000000001</v>
      </c>
      <c r="HN50" s="14">
        <v>36.465000000000003</v>
      </c>
      <c r="HO50" s="14">
        <v>36.466999999999999</v>
      </c>
      <c r="HP50" s="14">
        <v>36.457999999999998</v>
      </c>
      <c r="HQ50" s="14"/>
      <c r="HR50" s="14"/>
      <c r="HS50" s="14"/>
      <c r="HT50" s="14"/>
      <c r="HU50" s="14"/>
      <c r="HV50" s="14"/>
      <c r="HW50" s="14"/>
      <c r="HX50" s="11"/>
      <c r="HY50" s="11"/>
      <c r="HZ50" s="11"/>
      <c r="IA50" s="11"/>
      <c r="IB50" s="11"/>
      <c r="IC50" s="11"/>
      <c r="ID50" s="11"/>
      <c r="IE50" s="11"/>
      <c r="IF50" s="11"/>
      <c r="IG50" s="11"/>
      <c r="IH50" s="14">
        <v>36.46</v>
      </c>
      <c r="II50" s="14">
        <v>36.454000000000001</v>
      </c>
      <c r="IJ50" s="14">
        <v>36.462000000000003</v>
      </c>
      <c r="IK50" s="14">
        <v>36.478000000000002</v>
      </c>
      <c r="IL50" s="14">
        <v>26.486000000000001</v>
      </c>
      <c r="IM50" s="14">
        <v>26.486000000000001</v>
      </c>
      <c r="IN50" s="14">
        <v>36.472000000000001</v>
      </c>
      <c r="IO50" s="14">
        <v>36.481999999999999</v>
      </c>
      <c r="IP50" s="14">
        <v>26.48</v>
      </c>
      <c r="IQ50" s="14">
        <v>36.478999999999999</v>
      </c>
      <c r="IR50" s="14">
        <v>36.472999999999999</v>
      </c>
      <c r="IS50" s="14">
        <v>36.475000000000001</v>
      </c>
      <c r="IT50" s="14">
        <v>36.472000000000001</v>
      </c>
      <c r="IU50" s="14">
        <v>36.475000000000001</v>
      </c>
      <c r="IV50" s="14">
        <v>36.476999999999997</v>
      </c>
      <c r="IW50" s="14">
        <v>36.465000000000003</v>
      </c>
      <c r="IX50" s="14">
        <v>36.463999999999999</v>
      </c>
      <c r="IY50" s="14">
        <v>36.462000000000003</v>
      </c>
      <c r="IZ50" s="14">
        <v>36.466000000000001</v>
      </c>
      <c r="JA50" s="14">
        <v>36.463999999999999</v>
      </c>
      <c r="JB50" s="14">
        <v>36.47</v>
      </c>
      <c r="JC50" s="14">
        <v>36.472999999999999</v>
      </c>
      <c r="JD50" s="14">
        <v>36.472000000000001</v>
      </c>
      <c r="JE50" s="14">
        <v>36.488</v>
      </c>
      <c r="JF50" s="14">
        <v>36.470999999999997</v>
      </c>
      <c r="JG50" s="14">
        <v>36.466000000000001</v>
      </c>
      <c r="JH50" s="14">
        <v>36.468000000000004</v>
      </c>
      <c r="JI50" s="14">
        <v>36.469000000000001</v>
      </c>
      <c r="JJ50" s="14">
        <v>36.47</v>
      </c>
      <c r="JK50" s="14">
        <v>36.472000000000001</v>
      </c>
      <c r="JL50" s="14">
        <v>36.484999999999999</v>
      </c>
      <c r="JM50" s="14">
        <v>36.488</v>
      </c>
      <c r="JN50" s="14">
        <v>36.487000000000002</v>
      </c>
      <c r="JO50" s="14">
        <v>36.488999999999997</v>
      </c>
      <c r="JP50" s="14">
        <v>36.488999999999997</v>
      </c>
      <c r="JQ50" s="14">
        <v>36.976999999999997</v>
      </c>
      <c r="JR50" s="14">
        <v>36.981000000000002</v>
      </c>
      <c r="JS50" s="14">
        <v>36.979999999999997</v>
      </c>
      <c r="JT50" s="14">
        <v>36.978999999999999</v>
      </c>
      <c r="JU50" s="14">
        <v>36.979999999999997</v>
      </c>
      <c r="JV50" s="14">
        <v>36.487000000000002</v>
      </c>
      <c r="JW50" s="14">
        <v>36.482999999999997</v>
      </c>
      <c r="JX50" s="14">
        <v>36.485999999999997</v>
      </c>
      <c r="JY50" s="14">
        <v>36.488</v>
      </c>
      <c r="JZ50" s="14">
        <v>36.484999999999999</v>
      </c>
      <c r="KA50" s="14">
        <v>36.485999999999997</v>
      </c>
      <c r="KB50" s="14">
        <v>36.484000000000002</v>
      </c>
      <c r="KC50" s="14">
        <v>36.484999999999999</v>
      </c>
      <c r="KD50" s="14">
        <v>36.481000000000002</v>
      </c>
      <c r="KE50" s="14">
        <v>36.484000000000002</v>
      </c>
      <c r="KF50" s="14">
        <v>36.454999999999998</v>
      </c>
      <c r="KG50" s="14">
        <v>36.459000000000003</v>
      </c>
      <c r="KH50" s="14">
        <v>36.462000000000003</v>
      </c>
      <c r="KI50" s="14">
        <v>36.465000000000003</v>
      </c>
      <c r="KJ50" s="14">
        <v>36.469000000000001</v>
      </c>
      <c r="KK50" s="14">
        <v>36.469000000000001</v>
      </c>
      <c r="KL50" s="14">
        <v>36.46</v>
      </c>
      <c r="KM50" s="14">
        <v>36.463999999999999</v>
      </c>
      <c r="KN50" s="14">
        <v>36.463000000000001</v>
      </c>
      <c r="KO50" s="14">
        <v>36.466999999999999</v>
      </c>
      <c r="KP50" s="14"/>
      <c r="KQ50" s="14"/>
      <c r="KR50" s="14"/>
      <c r="KS50" s="14"/>
      <c r="KT50" s="14"/>
      <c r="KU50" s="14"/>
      <c r="KV50" s="14"/>
      <c r="KW50" s="14"/>
      <c r="KX50" s="14"/>
      <c r="KY50" s="14"/>
      <c r="KZ50" s="14"/>
      <c r="LA50" s="14"/>
      <c r="LB50" s="14"/>
      <c r="LC50" s="14"/>
      <c r="LD50" s="14"/>
      <c r="LE50" s="14"/>
      <c r="LF50" s="14"/>
      <c r="LG50" s="14"/>
      <c r="LH50" s="14"/>
      <c r="LI50" s="14"/>
      <c r="LJ50" s="12">
        <f t="shared" ref="LJ50:LJ56" si="9">COUNT(H52:CD52)</f>
        <v>30</v>
      </c>
      <c r="LK50" s="6">
        <f t="shared" ref="LK50:LK56" si="10">AVERAGE(H52:CD52)</f>
        <v>51.861766666666668</v>
      </c>
      <c r="LL50" s="2">
        <f t="shared" ref="LL50:LL56" si="11">STDEVA(H52:CD52)</f>
        <v>7.0056302563370778</v>
      </c>
      <c r="LM50" s="7">
        <f t="shared" ref="LM50:LM56" si="12">(E52-F52)/(6*LL50)</f>
        <v>-4.5201738470326873E-4</v>
      </c>
      <c r="LN50" s="7">
        <f t="shared" ref="LN50:LN56" si="13">(E52-LK50)/(3*LL50)</f>
        <v>0.14617925016117247</v>
      </c>
      <c r="LO50" s="7">
        <f t="shared" ref="LO50:LO56" si="14">(LK50-F52)/(3*LL50)</f>
        <v>-0.14708328493057901</v>
      </c>
      <c r="LP50" s="7">
        <f t="shared" si="0"/>
        <v>-0.14708328493057901</v>
      </c>
    </row>
    <row r="51" spans="1:328" ht="30" customHeight="1">
      <c r="A51" s="2" t="s">
        <v>48</v>
      </c>
      <c r="B51" s="2" t="s">
        <v>67</v>
      </c>
      <c r="C51" s="2" t="s">
        <v>69</v>
      </c>
      <c r="D51" s="2" t="s">
        <v>33</v>
      </c>
      <c r="E51" s="10"/>
      <c r="F51" s="10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>
        <v>54.947000000000003</v>
      </c>
      <c r="BB51" s="5">
        <v>54.941000000000003</v>
      </c>
      <c r="BC51" s="5">
        <v>54.942999999999998</v>
      </c>
      <c r="BD51" s="5">
        <v>54.942</v>
      </c>
      <c r="BE51" s="5">
        <v>54.941000000000003</v>
      </c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13"/>
      <c r="HN51" s="14"/>
      <c r="HO51" s="14"/>
      <c r="HP51" s="14"/>
      <c r="HQ51" s="14"/>
      <c r="HR51" s="14"/>
      <c r="HS51" s="14"/>
      <c r="HT51" s="14"/>
      <c r="HU51" s="14"/>
      <c r="HV51" s="14"/>
      <c r="HW51" s="14"/>
      <c r="HX51" s="11"/>
      <c r="HY51" s="11"/>
      <c r="HZ51" s="11"/>
      <c r="IA51" s="11"/>
      <c r="IB51" s="11"/>
      <c r="IC51" s="11"/>
      <c r="ID51" s="11"/>
      <c r="IE51" s="11"/>
      <c r="IF51" s="11"/>
      <c r="IG51" s="11"/>
      <c r="IH51" s="14"/>
      <c r="II51" s="14"/>
      <c r="IJ51" s="14"/>
      <c r="IK51" s="14"/>
      <c r="IL51" s="14"/>
      <c r="IM51" s="14"/>
      <c r="IN51" s="14"/>
      <c r="IO51" s="14"/>
      <c r="IP51" s="14"/>
      <c r="IQ51" s="14"/>
      <c r="IR51" s="14"/>
      <c r="IS51" s="14"/>
      <c r="IT51" s="14"/>
      <c r="IU51" s="14"/>
      <c r="IV51" s="14"/>
      <c r="IW51" s="14"/>
      <c r="IX51" s="14"/>
      <c r="IY51" s="14"/>
      <c r="IZ51" s="14"/>
      <c r="JA51" s="14"/>
      <c r="JB51" s="14"/>
      <c r="JC51" s="14"/>
      <c r="JD51" s="14"/>
      <c r="JE51" s="14"/>
      <c r="JF51" s="14"/>
      <c r="JG51" s="14"/>
      <c r="JH51" s="14"/>
      <c r="JI51" s="14"/>
      <c r="JJ51" s="14"/>
      <c r="JK51" s="14"/>
      <c r="JL51" s="14"/>
      <c r="JM51" s="14"/>
      <c r="JN51" s="14"/>
      <c r="JO51" s="14"/>
      <c r="JP51" s="14"/>
      <c r="JQ51" s="14"/>
      <c r="JR51" s="14"/>
      <c r="JS51" s="14"/>
      <c r="JT51" s="14"/>
      <c r="JU51" s="14"/>
      <c r="JV51" s="14"/>
      <c r="JW51" s="14"/>
      <c r="JX51" s="14"/>
      <c r="JY51" s="14"/>
      <c r="JZ51" s="14"/>
      <c r="KA51" s="14"/>
      <c r="KB51" s="14"/>
      <c r="KC51" s="14"/>
      <c r="KD51" s="14"/>
      <c r="KE51" s="14"/>
      <c r="KF51" s="14"/>
      <c r="KG51" s="14"/>
      <c r="KH51" s="14"/>
      <c r="KI51" s="14"/>
      <c r="KJ51" s="14"/>
      <c r="KK51" s="14"/>
      <c r="KL51" s="14"/>
      <c r="KM51" s="14"/>
      <c r="KN51" s="14"/>
      <c r="KO51" s="14"/>
      <c r="KP51" s="14"/>
      <c r="KQ51" s="14"/>
      <c r="KR51" s="14"/>
      <c r="KS51" s="14"/>
      <c r="KT51" s="14"/>
      <c r="KU51" s="14"/>
      <c r="KV51" s="14"/>
      <c r="KW51" s="14"/>
      <c r="KX51" s="14"/>
      <c r="KY51" s="14"/>
      <c r="KZ51" s="14"/>
      <c r="LA51" s="14"/>
      <c r="LB51" s="14"/>
      <c r="LC51" s="14"/>
      <c r="LD51" s="14"/>
      <c r="LE51" s="14"/>
      <c r="LF51" s="14"/>
      <c r="LG51" s="14"/>
      <c r="LH51" s="14"/>
      <c r="LI51" s="14"/>
      <c r="LJ51" s="12">
        <f t="shared" si="9"/>
        <v>10</v>
      </c>
      <c r="LK51" s="6">
        <f t="shared" si="10"/>
        <v>9.9375</v>
      </c>
      <c r="LL51" s="2">
        <f t="shared" si="11"/>
        <v>1.4238055422782283E-2</v>
      </c>
      <c r="LM51" s="7">
        <f t="shared" si="12"/>
        <v>0.2341143670504259</v>
      </c>
      <c r="LN51" s="7">
        <f t="shared" si="13"/>
        <v>0.5267573258634427</v>
      </c>
      <c r="LO51" s="7">
        <f t="shared" si="14"/>
        <v>-5.8528591762590877E-2</v>
      </c>
      <c r="LP51" s="7">
        <f t="shared" si="0"/>
        <v>-5.8528591762590877E-2</v>
      </c>
    </row>
    <row r="52" spans="1:328" ht="30" customHeight="1">
      <c r="A52" s="2" t="s">
        <v>48</v>
      </c>
      <c r="B52" s="2" t="s">
        <v>67</v>
      </c>
      <c r="C52" s="2" t="s">
        <v>70</v>
      </c>
      <c r="D52" s="2" t="s">
        <v>52</v>
      </c>
      <c r="E52" s="5">
        <v>54.933999999999997</v>
      </c>
      <c r="F52" s="5">
        <v>54.953000000000003</v>
      </c>
      <c r="G52" s="5">
        <f t="shared" si="1"/>
        <v>54.9435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>
        <v>54.944000000000003</v>
      </c>
      <c r="AC52" s="5">
        <v>54.941000000000003</v>
      </c>
      <c r="AD52" s="5">
        <v>54.945999999999998</v>
      </c>
      <c r="AE52" s="5">
        <v>54.945</v>
      </c>
      <c r="AF52" s="5">
        <v>54.942999999999998</v>
      </c>
      <c r="AG52" s="5">
        <v>54.945</v>
      </c>
      <c r="AH52" s="5">
        <v>54.935000000000002</v>
      </c>
      <c r="AI52" s="5">
        <v>54.939</v>
      </c>
      <c r="AJ52" s="5">
        <v>54.936</v>
      </c>
      <c r="AK52" s="5">
        <v>54.94</v>
      </c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36.457000000000001</v>
      </c>
      <c r="BB52" s="5">
        <v>36.463000000000001</v>
      </c>
      <c r="BC52" s="5">
        <v>36.459000000000003</v>
      </c>
      <c r="BD52" s="5">
        <v>36.460999999999999</v>
      </c>
      <c r="BE52" s="5">
        <v>36.46</v>
      </c>
      <c r="BF52" s="5"/>
      <c r="BG52" s="5"/>
      <c r="BH52" s="5"/>
      <c r="BI52" s="5"/>
      <c r="BJ52" s="5"/>
      <c r="BK52" s="5">
        <v>54.948</v>
      </c>
      <c r="BL52" s="5">
        <v>54.944000000000003</v>
      </c>
      <c r="BM52" s="5">
        <v>54.939</v>
      </c>
      <c r="BN52" s="5">
        <v>54.945999999999998</v>
      </c>
      <c r="BO52" s="5">
        <v>54.947000000000003</v>
      </c>
      <c r="BP52" s="5">
        <v>54.942</v>
      </c>
      <c r="BQ52" s="5">
        <v>54.939</v>
      </c>
      <c r="BR52" s="5">
        <v>54.944000000000003</v>
      </c>
      <c r="BS52" s="5">
        <v>54.94</v>
      </c>
      <c r="BT52" s="5">
        <v>54.938000000000002</v>
      </c>
      <c r="BU52" s="5"/>
      <c r="BV52" s="5"/>
      <c r="BW52" s="5"/>
      <c r="BX52" s="5"/>
      <c r="BY52" s="5"/>
      <c r="BZ52" s="5">
        <v>54.945</v>
      </c>
      <c r="CA52" s="5">
        <v>54.944000000000003</v>
      </c>
      <c r="CB52" s="5">
        <v>54.941000000000003</v>
      </c>
      <c r="CC52" s="5">
        <v>54.942999999999998</v>
      </c>
      <c r="CD52" s="5">
        <v>54.939</v>
      </c>
      <c r="CE52" s="5">
        <v>54.941000000000003</v>
      </c>
      <c r="CF52" s="5">
        <v>54.942999999999998</v>
      </c>
      <c r="CG52" s="5">
        <v>54.945</v>
      </c>
      <c r="CH52" s="5">
        <v>54.939</v>
      </c>
      <c r="CI52" s="5">
        <v>54.938000000000002</v>
      </c>
      <c r="CJ52" s="5">
        <v>54.944000000000003</v>
      </c>
      <c r="CK52" s="5">
        <v>54.939</v>
      </c>
      <c r="CL52" s="5">
        <v>54.94</v>
      </c>
      <c r="CM52" s="5">
        <v>54.942999999999998</v>
      </c>
      <c r="CN52" s="5">
        <v>54.94</v>
      </c>
      <c r="CO52" s="5"/>
      <c r="CP52" s="5"/>
      <c r="CQ52" s="5"/>
      <c r="CR52" s="5"/>
      <c r="CS52" s="5"/>
      <c r="CT52" s="5">
        <v>54.936</v>
      </c>
      <c r="CU52" s="5">
        <v>54.94</v>
      </c>
      <c r="CV52" s="5">
        <v>54.94</v>
      </c>
      <c r="CW52" s="5">
        <v>54.942999999999998</v>
      </c>
      <c r="CX52" s="5">
        <v>54.945999999999998</v>
      </c>
      <c r="CY52" s="5">
        <v>54.94</v>
      </c>
      <c r="CZ52" s="5">
        <v>54.94</v>
      </c>
      <c r="DA52" s="5">
        <v>54.938000000000002</v>
      </c>
      <c r="DB52" s="5">
        <v>54.941000000000003</v>
      </c>
      <c r="DC52" s="5">
        <v>54.94</v>
      </c>
      <c r="DD52" s="5">
        <v>54.936999999999998</v>
      </c>
      <c r="DE52" s="5">
        <v>54.935000000000002</v>
      </c>
      <c r="DF52" s="5">
        <v>54.939</v>
      </c>
      <c r="DG52" s="5">
        <v>54.941000000000003</v>
      </c>
      <c r="DH52" s="5">
        <v>54.94</v>
      </c>
      <c r="DI52" s="5">
        <v>54.942</v>
      </c>
      <c r="DJ52" s="5">
        <v>54.94</v>
      </c>
      <c r="DK52" s="5">
        <v>54.939</v>
      </c>
      <c r="DL52" s="5">
        <v>54.942999999999998</v>
      </c>
      <c r="DM52" s="5">
        <v>54.94</v>
      </c>
      <c r="DN52" s="5">
        <v>54.941000000000003</v>
      </c>
      <c r="DO52" s="5">
        <v>54.945</v>
      </c>
      <c r="DP52" s="5">
        <v>54.942999999999998</v>
      </c>
      <c r="DQ52" s="5">
        <v>54.942</v>
      </c>
      <c r="DR52" s="5">
        <v>54.945999999999998</v>
      </c>
      <c r="DS52" s="5">
        <v>54.942</v>
      </c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>
        <v>54.94</v>
      </c>
      <c r="HI52" s="5">
        <v>54.944000000000003</v>
      </c>
      <c r="HJ52" s="5">
        <v>54.942</v>
      </c>
      <c r="HK52" s="5">
        <v>54.94</v>
      </c>
      <c r="HL52" s="5">
        <v>54.94</v>
      </c>
      <c r="HM52" s="13">
        <v>54.936</v>
      </c>
      <c r="HN52" s="14">
        <v>54.938000000000002</v>
      </c>
      <c r="HO52" s="14">
        <v>54.941000000000003</v>
      </c>
      <c r="HP52" s="14">
        <v>54.933999999999997</v>
      </c>
      <c r="HQ52" s="14"/>
      <c r="HR52" s="14"/>
      <c r="HS52" s="14"/>
      <c r="HT52" s="14"/>
      <c r="HU52" s="14"/>
      <c r="HV52" s="14"/>
      <c r="HW52" s="14"/>
      <c r="HX52" s="11"/>
      <c r="HY52" s="11"/>
      <c r="HZ52" s="11"/>
      <c r="IA52" s="11"/>
      <c r="IB52" s="11"/>
      <c r="IC52" s="11"/>
      <c r="ID52" s="11"/>
      <c r="IE52" s="11"/>
      <c r="IF52" s="11"/>
      <c r="IG52" s="11"/>
      <c r="IH52" s="14">
        <v>54.936999999999998</v>
      </c>
      <c r="II52" s="14">
        <v>54.942999999999998</v>
      </c>
      <c r="IJ52" s="14">
        <v>54.945</v>
      </c>
      <c r="IK52" s="14">
        <v>54.942</v>
      </c>
      <c r="IL52" s="14">
        <v>54.94</v>
      </c>
      <c r="IM52" s="14">
        <v>54.936999999999998</v>
      </c>
      <c r="IN52" s="14">
        <v>54.935000000000002</v>
      </c>
      <c r="IO52" s="14">
        <v>54.936</v>
      </c>
      <c r="IP52" s="14">
        <v>54.936999999999998</v>
      </c>
      <c r="IQ52" s="14">
        <v>54.938000000000002</v>
      </c>
      <c r="IR52" s="14">
        <v>54.94</v>
      </c>
      <c r="IS52" s="14">
        <v>54.942</v>
      </c>
      <c r="IT52" s="14">
        <v>54.945</v>
      </c>
      <c r="IU52" s="14">
        <v>54.941000000000003</v>
      </c>
      <c r="IV52" s="14">
        <v>54.942999999999998</v>
      </c>
      <c r="IW52" s="14"/>
      <c r="IX52" s="14"/>
      <c r="IY52" s="14"/>
      <c r="IZ52" s="14"/>
      <c r="JA52" s="14"/>
      <c r="JB52" s="14">
        <v>54.94</v>
      </c>
      <c r="JC52" s="14">
        <v>54.939</v>
      </c>
      <c r="JD52" s="14">
        <v>54.942999999999998</v>
      </c>
      <c r="JE52" s="14">
        <v>54.945999999999998</v>
      </c>
      <c r="JF52" s="14">
        <v>54.945</v>
      </c>
      <c r="JG52" s="14">
        <v>54.944000000000003</v>
      </c>
      <c r="JH52" s="14">
        <v>54.945999999999998</v>
      </c>
      <c r="JI52" s="14">
        <v>54.941000000000003</v>
      </c>
      <c r="JJ52" s="14">
        <v>54.942999999999998</v>
      </c>
      <c r="JK52" s="14">
        <v>54.945999999999998</v>
      </c>
      <c r="JL52" s="14">
        <v>54.939</v>
      </c>
      <c r="JM52" s="14">
        <v>54.942999999999998</v>
      </c>
      <c r="JN52" s="14">
        <v>54.938000000000002</v>
      </c>
      <c r="JO52" s="14">
        <v>54.942</v>
      </c>
      <c r="JP52" s="14">
        <v>54.94</v>
      </c>
      <c r="JQ52" s="14">
        <v>54.951000000000001</v>
      </c>
      <c r="JR52" s="14">
        <v>54.948999999999998</v>
      </c>
      <c r="JS52" s="14">
        <v>54.942</v>
      </c>
      <c r="JT52" s="14">
        <v>54.95</v>
      </c>
      <c r="JU52" s="14">
        <v>54.95</v>
      </c>
      <c r="JV52" s="14">
        <v>54.944000000000003</v>
      </c>
      <c r="JW52" s="14">
        <v>54.945</v>
      </c>
      <c r="JX52" s="14">
        <v>54.942999999999998</v>
      </c>
      <c r="JY52" s="14">
        <v>54.945</v>
      </c>
      <c r="JZ52" s="14">
        <v>54.948</v>
      </c>
      <c r="KA52" s="14">
        <v>54.933999999999997</v>
      </c>
      <c r="KB52" s="14">
        <v>54.936</v>
      </c>
      <c r="KC52" s="14">
        <v>54.936999999999998</v>
      </c>
      <c r="KD52" s="14">
        <v>54.936</v>
      </c>
      <c r="KE52" s="14">
        <v>54.935000000000002</v>
      </c>
      <c r="KF52" s="14">
        <v>54.941000000000003</v>
      </c>
      <c r="KG52" s="14">
        <v>54.942999999999998</v>
      </c>
      <c r="KH52" s="14">
        <v>54.941000000000003</v>
      </c>
      <c r="KI52" s="14">
        <v>54.942</v>
      </c>
      <c r="KJ52" s="14">
        <v>54.942999999999998</v>
      </c>
      <c r="KK52" s="14">
        <v>54.944000000000003</v>
      </c>
      <c r="KL52" s="14">
        <v>54.945</v>
      </c>
      <c r="KM52" s="14">
        <v>54.945999999999998</v>
      </c>
      <c r="KN52" s="14">
        <v>54.942999999999998</v>
      </c>
      <c r="KO52" s="14">
        <v>54.945999999999998</v>
      </c>
      <c r="KP52" s="14"/>
      <c r="KQ52" s="14"/>
      <c r="KR52" s="14"/>
      <c r="KS52" s="14"/>
      <c r="KT52" s="14"/>
      <c r="KU52" s="14"/>
      <c r="KV52" s="14"/>
      <c r="KW52" s="14"/>
      <c r="KX52" s="14"/>
      <c r="KY52" s="14"/>
      <c r="KZ52" s="14"/>
      <c r="LA52" s="14"/>
      <c r="LB52" s="14"/>
      <c r="LC52" s="14"/>
      <c r="LD52" s="14"/>
      <c r="LE52" s="14"/>
      <c r="LF52" s="14"/>
      <c r="LG52" s="14"/>
      <c r="LH52" s="14"/>
      <c r="LI52" s="14"/>
      <c r="LJ52" s="12">
        <f t="shared" si="9"/>
        <v>30</v>
      </c>
      <c r="LK52" s="6">
        <f t="shared" si="10"/>
        <v>29.940583333333333</v>
      </c>
      <c r="LL52" s="2">
        <f t="shared" si="11"/>
        <v>0.10300753934018408</v>
      </c>
      <c r="LM52" s="7">
        <f t="shared" si="12"/>
        <v>1.941605452194177E-2</v>
      </c>
      <c r="LN52" s="7">
        <f t="shared" si="13"/>
        <v>8.5484573381321843E-2</v>
      </c>
      <c r="LO52" s="7">
        <f t="shared" si="14"/>
        <v>-4.6652464337438304E-2</v>
      </c>
      <c r="LP52" s="7">
        <f t="shared" si="0"/>
        <v>-4.6652464337438304E-2</v>
      </c>
    </row>
    <row r="53" spans="1:328" ht="30" customHeight="1">
      <c r="A53" s="2" t="s">
        <v>48</v>
      </c>
      <c r="B53" s="2" t="s">
        <v>71</v>
      </c>
      <c r="C53" s="2" t="s">
        <v>72</v>
      </c>
      <c r="D53" s="2" t="s">
        <v>65</v>
      </c>
      <c r="E53" s="5">
        <v>9.9600000000000009</v>
      </c>
      <c r="F53" s="5">
        <v>9.94</v>
      </c>
      <c r="G53" s="5">
        <f t="shared" si="1"/>
        <v>9.9499999999999993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>
        <v>9.9130000000000003</v>
      </c>
      <c r="AM53" s="5">
        <v>9.9290000000000003</v>
      </c>
      <c r="AN53" s="5">
        <v>9.9350000000000005</v>
      </c>
      <c r="AO53" s="5">
        <v>9.93</v>
      </c>
      <c r="AP53" s="5">
        <v>9.92</v>
      </c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>
        <v>9.9469999999999992</v>
      </c>
      <c r="BB53" s="5">
        <v>9.9510000000000005</v>
      </c>
      <c r="BC53" s="5">
        <v>9.9489999999999998</v>
      </c>
      <c r="BD53" s="5">
        <v>9.9550000000000001</v>
      </c>
      <c r="BE53" s="5">
        <v>9.9459999999999997</v>
      </c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13"/>
      <c r="HN53" s="14"/>
      <c r="HO53" s="14"/>
      <c r="HP53" s="14"/>
      <c r="HQ53" s="14"/>
      <c r="HR53" s="14"/>
      <c r="HS53" s="14"/>
      <c r="HT53" s="14"/>
      <c r="HU53" s="14"/>
      <c r="HV53" s="14"/>
      <c r="HW53" s="14"/>
      <c r="HX53" s="11"/>
      <c r="HY53" s="11"/>
      <c r="HZ53" s="11"/>
      <c r="IA53" s="11"/>
      <c r="IB53" s="11"/>
      <c r="IC53" s="11"/>
      <c r="ID53" s="11"/>
      <c r="IE53" s="11"/>
      <c r="IF53" s="11"/>
      <c r="IG53" s="11"/>
      <c r="IH53" s="14"/>
      <c r="II53" s="14"/>
      <c r="IJ53" s="14"/>
      <c r="IK53" s="14"/>
      <c r="IL53" s="14"/>
      <c r="IM53" s="14"/>
      <c r="IN53" s="14"/>
      <c r="IO53" s="14"/>
      <c r="IP53" s="14"/>
      <c r="IQ53" s="14"/>
      <c r="IR53" s="14"/>
      <c r="IS53" s="14"/>
      <c r="IT53" s="14"/>
      <c r="IU53" s="14"/>
      <c r="IV53" s="14"/>
      <c r="IW53" s="14"/>
      <c r="IX53" s="14"/>
      <c r="IY53" s="14"/>
      <c r="IZ53" s="14"/>
      <c r="JA53" s="14"/>
      <c r="JB53" s="14"/>
      <c r="JC53" s="14"/>
      <c r="JD53" s="14"/>
      <c r="JE53" s="14"/>
      <c r="JF53" s="14"/>
      <c r="JG53" s="14"/>
      <c r="JH53" s="14"/>
      <c r="JI53" s="14"/>
      <c r="JJ53" s="14"/>
      <c r="JK53" s="14"/>
      <c r="JL53" s="14"/>
      <c r="JM53" s="14"/>
      <c r="JN53" s="14"/>
      <c r="JO53" s="14"/>
      <c r="JP53" s="14"/>
      <c r="JQ53" s="14"/>
      <c r="JR53" s="14"/>
      <c r="JS53" s="14"/>
      <c r="JT53" s="14"/>
      <c r="JU53" s="14"/>
      <c r="JV53" s="14"/>
      <c r="JW53" s="14"/>
      <c r="JX53" s="14"/>
      <c r="JY53" s="14"/>
      <c r="JZ53" s="14"/>
      <c r="KA53" s="14"/>
      <c r="KB53" s="14"/>
      <c r="KC53" s="14"/>
      <c r="KD53" s="14"/>
      <c r="KE53" s="14"/>
      <c r="KF53" s="14"/>
      <c r="KG53" s="14"/>
      <c r="KH53" s="14"/>
      <c r="KI53" s="14"/>
      <c r="KJ53" s="14"/>
      <c r="KK53" s="14">
        <v>9.952</v>
      </c>
      <c r="KL53" s="14">
        <v>9.9529999999999994</v>
      </c>
      <c r="KM53" s="14">
        <v>9.9540000000000006</v>
      </c>
      <c r="KN53" s="14">
        <v>9.9550000000000001</v>
      </c>
      <c r="KO53" s="14">
        <v>9.9559999999999995</v>
      </c>
      <c r="KP53" s="14"/>
      <c r="KQ53" s="14"/>
      <c r="KR53" s="14"/>
      <c r="KS53" s="14"/>
      <c r="KT53" s="14"/>
      <c r="KU53" s="14"/>
      <c r="KV53" s="14"/>
      <c r="KW53" s="14"/>
      <c r="KX53" s="14"/>
      <c r="KY53" s="14"/>
      <c r="KZ53" s="14"/>
      <c r="LA53" s="14"/>
      <c r="LB53" s="14"/>
      <c r="LC53" s="14"/>
      <c r="LD53" s="14"/>
      <c r="LE53" s="14"/>
      <c r="LF53" s="14"/>
      <c r="LG53" s="14"/>
      <c r="LH53" s="14"/>
      <c r="LI53" s="14"/>
      <c r="LJ53" s="12">
        <f t="shared" si="9"/>
        <v>25</v>
      </c>
      <c r="LK53" s="6">
        <f t="shared" si="10"/>
        <v>29.840040000000002</v>
      </c>
      <c r="LL53" s="2">
        <f t="shared" si="11"/>
        <v>0.59939292065666994</v>
      </c>
      <c r="LM53" s="7">
        <f t="shared" si="12"/>
        <v>5.5611823537745509E-3</v>
      </c>
      <c r="LN53" s="7">
        <f t="shared" si="13"/>
        <v>7.2273125869653912E-2</v>
      </c>
      <c r="LO53" s="7">
        <f t="shared" si="14"/>
        <v>-6.1150761162104814E-2</v>
      </c>
      <c r="LP53" s="7">
        <f t="shared" si="0"/>
        <v>-6.1150761162104814E-2</v>
      </c>
    </row>
    <row r="54" spans="1:328" ht="30" customHeight="1">
      <c r="A54" s="2" t="s">
        <v>48</v>
      </c>
      <c r="B54" s="2" t="s">
        <v>71</v>
      </c>
      <c r="C54" s="2" t="s">
        <v>72</v>
      </c>
      <c r="D54" s="2" t="s">
        <v>52</v>
      </c>
      <c r="E54" s="4">
        <v>29.966999999999999</v>
      </c>
      <c r="F54" s="4">
        <v>29.954999999999998</v>
      </c>
      <c r="G54" s="5">
        <f t="shared" si="1"/>
        <v>29.960999999999999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>
        <v>29.957000000000001</v>
      </c>
      <c r="AM54" s="5">
        <v>29.395499999999998</v>
      </c>
      <c r="AN54" s="5">
        <v>29.946999999999999</v>
      </c>
      <c r="AO54" s="5">
        <v>29.952000000000002</v>
      </c>
      <c r="AP54" s="5">
        <v>29.954999999999998</v>
      </c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29.957999999999998</v>
      </c>
      <c r="BB54" s="5">
        <v>29.963999999999999</v>
      </c>
      <c r="BC54" s="5">
        <v>29.960999999999999</v>
      </c>
      <c r="BD54" s="5">
        <v>29.957000000000001</v>
      </c>
      <c r="BE54" s="5">
        <v>29.963000000000001</v>
      </c>
      <c r="BF54" s="5"/>
      <c r="BG54" s="5"/>
      <c r="BH54" s="5"/>
      <c r="BI54" s="5"/>
      <c r="BJ54" s="5"/>
      <c r="BK54" s="5">
        <v>29.96</v>
      </c>
      <c r="BL54" s="5">
        <v>29.959</v>
      </c>
      <c r="BM54" s="5">
        <v>29.957000000000001</v>
      </c>
      <c r="BN54" s="5">
        <v>29.960999999999999</v>
      </c>
      <c r="BO54" s="5">
        <v>29.959</v>
      </c>
      <c r="BP54" s="5">
        <v>29.96</v>
      </c>
      <c r="BQ54" s="5">
        <v>29.962</v>
      </c>
      <c r="BR54" s="5">
        <v>29.960999999999999</v>
      </c>
      <c r="BS54" s="5">
        <v>29.96</v>
      </c>
      <c r="BT54" s="5">
        <v>29.962</v>
      </c>
      <c r="BU54" s="5">
        <v>29.960999999999999</v>
      </c>
      <c r="BV54" s="5">
        <v>29.96</v>
      </c>
      <c r="BW54" s="5">
        <v>29.960999999999999</v>
      </c>
      <c r="BX54" s="5">
        <v>29.962</v>
      </c>
      <c r="BY54" s="5">
        <v>29.963999999999999</v>
      </c>
      <c r="BZ54" s="5">
        <v>29.957999999999998</v>
      </c>
      <c r="CA54" s="5">
        <v>29.960999999999999</v>
      </c>
      <c r="CB54" s="5">
        <v>29.96</v>
      </c>
      <c r="CC54" s="5">
        <v>29.960999999999999</v>
      </c>
      <c r="CD54" s="5">
        <v>29.959</v>
      </c>
      <c r="CE54" s="5">
        <v>29.959</v>
      </c>
      <c r="CF54" s="5">
        <v>29.963000000000001</v>
      </c>
      <c r="CG54" s="5">
        <v>29.96</v>
      </c>
      <c r="CH54" s="5">
        <v>29.960999999999999</v>
      </c>
      <c r="CI54" s="5">
        <v>29.957999999999998</v>
      </c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>
        <v>29.963999999999999</v>
      </c>
      <c r="DE54" s="5">
        <v>29.960999999999999</v>
      </c>
      <c r="DF54" s="5">
        <v>29.959</v>
      </c>
      <c r="DG54" s="5">
        <v>29.962</v>
      </c>
      <c r="DH54" s="5">
        <v>29.959</v>
      </c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>
        <v>29.963000000000001</v>
      </c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>
        <v>29.96</v>
      </c>
      <c r="HI54" s="5">
        <v>29.960999999999999</v>
      </c>
      <c r="HJ54" s="5">
        <v>29.959</v>
      </c>
      <c r="HK54" s="5">
        <v>29.96</v>
      </c>
      <c r="HL54" s="5">
        <v>29.962</v>
      </c>
      <c r="HM54" s="13">
        <v>29.96</v>
      </c>
      <c r="HN54" s="14">
        <v>29.959</v>
      </c>
      <c r="HO54" s="14">
        <v>29.957999999999998</v>
      </c>
      <c r="HP54" s="14">
        <v>29.96</v>
      </c>
      <c r="HQ54" s="14"/>
      <c r="HR54" s="14"/>
      <c r="HS54" s="14"/>
      <c r="HT54" s="14"/>
      <c r="HU54" s="14"/>
      <c r="HV54" s="14"/>
      <c r="HW54" s="14"/>
      <c r="HX54" s="11"/>
      <c r="HY54" s="11"/>
      <c r="HZ54" s="11"/>
      <c r="IA54" s="11"/>
      <c r="IB54" s="11"/>
      <c r="IC54" s="11"/>
      <c r="ID54" s="11"/>
      <c r="IE54" s="11"/>
      <c r="IF54" s="11"/>
      <c r="IG54" s="11"/>
      <c r="IH54" s="14"/>
      <c r="II54" s="14"/>
      <c r="IJ54" s="14"/>
      <c r="IK54" s="14"/>
      <c r="IL54" s="14"/>
      <c r="IM54" s="14"/>
      <c r="IN54" s="14"/>
      <c r="IO54" s="14"/>
      <c r="IP54" s="14"/>
      <c r="IQ54" s="14"/>
      <c r="IR54" s="14"/>
      <c r="IS54" s="14"/>
      <c r="IT54" s="14"/>
      <c r="IU54" s="14"/>
      <c r="IV54" s="14"/>
      <c r="IW54" s="14"/>
      <c r="IX54" s="14"/>
      <c r="IY54" s="14"/>
      <c r="IZ54" s="14"/>
      <c r="JA54" s="14"/>
      <c r="JB54" s="14"/>
      <c r="JC54" s="14"/>
      <c r="JD54" s="14"/>
      <c r="JE54" s="14"/>
      <c r="JF54" s="14"/>
      <c r="JG54" s="14"/>
      <c r="JH54" s="14"/>
      <c r="JI54" s="14"/>
      <c r="JJ54" s="14"/>
      <c r="JK54" s="14"/>
      <c r="JL54" s="14"/>
      <c r="JM54" s="14"/>
      <c r="JN54" s="14"/>
      <c r="JO54" s="14"/>
      <c r="JP54" s="14"/>
      <c r="JQ54" s="14"/>
      <c r="JR54" s="14"/>
      <c r="JS54" s="14"/>
      <c r="JT54" s="14"/>
      <c r="JU54" s="14"/>
      <c r="JV54" s="14"/>
      <c r="JW54" s="14"/>
      <c r="JX54" s="14"/>
      <c r="JY54" s="14"/>
      <c r="JZ54" s="14"/>
      <c r="KA54" s="14"/>
      <c r="KB54" s="14"/>
      <c r="KC54" s="14"/>
      <c r="KD54" s="14"/>
      <c r="KE54" s="14"/>
      <c r="KF54" s="14"/>
      <c r="KG54" s="14"/>
      <c r="KH54" s="14"/>
      <c r="KI54" s="14"/>
      <c r="KJ54" s="14"/>
      <c r="KK54" s="14">
        <v>26.952999999999999</v>
      </c>
      <c r="KL54" s="14">
        <v>26.957999999999998</v>
      </c>
      <c r="KM54" s="14">
        <v>26.959</v>
      </c>
      <c r="KN54" s="14">
        <v>26.957000000000001</v>
      </c>
      <c r="KO54" s="14">
        <v>26.954999999999998</v>
      </c>
      <c r="KP54" s="14"/>
      <c r="KQ54" s="14"/>
      <c r="KR54" s="14"/>
      <c r="KS54" s="14"/>
      <c r="KT54" s="14"/>
      <c r="KU54" s="14"/>
      <c r="KV54" s="14"/>
      <c r="KW54" s="14"/>
      <c r="KX54" s="14"/>
      <c r="KY54" s="14"/>
      <c r="KZ54" s="14"/>
      <c r="LA54" s="14"/>
      <c r="LB54" s="14"/>
      <c r="LC54" s="14"/>
      <c r="LD54" s="14"/>
      <c r="LE54" s="14"/>
      <c r="LF54" s="14"/>
      <c r="LG54" s="14"/>
      <c r="LH54" s="14"/>
      <c r="LI54" s="14"/>
      <c r="LJ54" s="12">
        <f t="shared" si="9"/>
        <v>25</v>
      </c>
      <c r="LK54" s="6">
        <f t="shared" si="10"/>
        <v>36.493200000000002</v>
      </c>
      <c r="LL54" s="2">
        <f t="shared" si="11"/>
        <v>6.2583277851728653E-3</v>
      </c>
      <c r="LM54" s="7">
        <f t="shared" si="12"/>
        <v>0.66577955161428537</v>
      </c>
      <c r="LN54" s="7">
        <f t="shared" si="13"/>
        <v>1.1078571738859861</v>
      </c>
      <c r="LO54" s="7">
        <f t="shared" si="14"/>
        <v>0.22370192934258457</v>
      </c>
      <c r="LP54" s="7">
        <f t="shared" si="0"/>
        <v>0.22370192934258457</v>
      </c>
    </row>
    <row r="55" spans="1:328" ht="30" customHeight="1">
      <c r="A55" s="2" t="s">
        <v>48</v>
      </c>
      <c r="B55" s="2" t="s">
        <v>73</v>
      </c>
      <c r="C55" s="2" t="s">
        <v>106</v>
      </c>
      <c r="D55" s="2" t="s">
        <v>52</v>
      </c>
      <c r="E55" s="5">
        <v>29.97</v>
      </c>
      <c r="F55" s="5">
        <v>29.95</v>
      </c>
      <c r="G55" s="5">
        <f t="shared" si="1"/>
        <v>29.96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>
        <v>29.954999999999998</v>
      </c>
      <c r="AM55" s="5">
        <v>29.957000000000001</v>
      </c>
      <c r="AN55" s="5">
        <v>29.96</v>
      </c>
      <c r="AO55" s="5">
        <v>29.957000000000001</v>
      </c>
      <c r="AP55" s="5">
        <v>29.965</v>
      </c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>
        <v>29.954999999999998</v>
      </c>
      <c r="BL55" s="5">
        <v>29.957999999999998</v>
      </c>
      <c r="BM55" s="5">
        <v>29.96</v>
      </c>
      <c r="BN55" s="5">
        <v>26.963000000000001</v>
      </c>
      <c r="BO55" s="5">
        <v>29.956</v>
      </c>
      <c r="BP55" s="5">
        <v>29.957000000000001</v>
      </c>
      <c r="BQ55" s="5">
        <v>29.963000000000001</v>
      </c>
      <c r="BR55" s="5">
        <v>29.96</v>
      </c>
      <c r="BS55" s="5">
        <v>29.959</v>
      </c>
      <c r="BT55" s="5">
        <v>29.959</v>
      </c>
      <c r="BU55" s="5">
        <v>29.959</v>
      </c>
      <c r="BV55" s="5">
        <v>29.960999999999999</v>
      </c>
      <c r="BW55" s="5">
        <v>29.957999999999998</v>
      </c>
      <c r="BX55" s="5">
        <v>29.963000000000001</v>
      </c>
      <c r="BY55" s="5">
        <v>29.96</v>
      </c>
      <c r="BZ55" s="5">
        <v>29.957000000000001</v>
      </c>
      <c r="CA55" s="5">
        <v>29.965</v>
      </c>
      <c r="CB55" s="5">
        <v>29.969000000000001</v>
      </c>
      <c r="CC55" s="5">
        <v>29.963000000000001</v>
      </c>
      <c r="CD55" s="5">
        <v>29.962</v>
      </c>
      <c r="CE55" s="5">
        <v>29.959</v>
      </c>
      <c r="CF55" s="5">
        <v>29.963000000000001</v>
      </c>
      <c r="CG55" s="5">
        <v>29.960999999999999</v>
      </c>
      <c r="CH55" s="5">
        <v>29.962</v>
      </c>
      <c r="CI55" s="5">
        <v>29.96</v>
      </c>
      <c r="CJ55" s="5">
        <v>29.952000000000002</v>
      </c>
      <c r="CK55" s="5">
        <v>29.959</v>
      </c>
      <c r="CL55" s="5">
        <v>29.957000000000001</v>
      </c>
      <c r="CM55" s="5">
        <v>29.957999999999998</v>
      </c>
      <c r="CN55" s="5">
        <v>29.96</v>
      </c>
      <c r="CO55" s="5"/>
      <c r="CP55" s="5"/>
      <c r="CQ55" s="5"/>
      <c r="CR55" s="5"/>
      <c r="CS55" s="5"/>
      <c r="CT55" s="5">
        <v>29.96</v>
      </c>
      <c r="CU55" s="5">
        <v>29.952999999999999</v>
      </c>
      <c r="CV55" s="5">
        <v>29.956</v>
      </c>
      <c r="CW55" s="5">
        <v>29.963000000000001</v>
      </c>
      <c r="CX55" s="5">
        <v>29.957999999999998</v>
      </c>
      <c r="CY55" s="5">
        <v>29.954000000000001</v>
      </c>
      <c r="CZ55" s="5">
        <v>29.954999999999998</v>
      </c>
      <c r="DA55" s="5">
        <v>29.954000000000001</v>
      </c>
      <c r="DB55" s="5">
        <v>29.957000000000001</v>
      </c>
      <c r="DC55" s="5">
        <v>29.956</v>
      </c>
      <c r="DD55" s="5">
        <v>29.95</v>
      </c>
      <c r="DE55" s="5">
        <v>29.946999999999999</v>
      </c>
      <c r="DF55" s="5">
        <v>29.951000000000001</v>
      </c>
      <c r="DG55" s="5">
        <v>29.956</v>
      </c>
      <c r="DH55" s="5">
        <v>29.954000000000001</v>
      </c>
      <c r="DI55" s="5"/>
      <c r="DJ55" s="5"/>
      <c r="DK55" s="5"/>
      <c r="DL55" s="5"/>
      <c r="DM55" s="5"/>
      <c r="DN55" s="5">
        <v>29.96</v>
      </c>
      <c r="DO55" s="5">
        <v>29.954999999999998</v>
      </c>
      <c r="DP55" s="5">
        <v>29.962</v>
      </c>
      <c r="DQ55" s="5">
        <v>29.957999999999998</v>
      </c>
      <c r="DR55" s="5">
        <v>29.965</v>
      </c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>
        <v>29.962</v>
      </c>
      <c r="HM55" s="13">
        <v>29.96</v>
      </c>
      <c r="HN55" s="14">
        <v>29.959</v>
      </c>
      <c r="HO55" s="14">
        <v>29.957999999999998</v>
      </c>
      <c r="HP55" s="14">
        <v>29.96</v>
      </c>
      <c r="HQ55" s="14"/>
      <c r="HR55" s="14"/>
      <c r="HS55" s="14"/>
      <c r="HT55" s="14"/>
      <c r="HU55" s="14"/>
      <c r="HV55" s="14"/>
      <c r="HW55" s="14"/>
      <c r="HX55" s="11"/>
      <c r="HY55" s="11"/>
      <c r="HZ55" s="11"/>
      <c r="IA55" s="11"/>
      <c r="IB55" s="11"/>
      <c r="IC55" s="11"/>
      <c r="ID55" s="11"/>
      <c r="IE55" s="11"/>
      <c r="IF55" s="11"/>
      <c r="IG55" s="11"/>
      <c r="IH55" s="14">
        <v>29.96</v>
      </c>
      <c r="II55" s="14">
        <v>29.957999999999998</v>
      </c>
      <c r="IJ55" s="14">
        <v>29.962</v>
      </c>
      <c r="IK55" s="14">
        <v>29.957000000000001</v>
      </c>
      <c r="IL55" s="14">
        <v>29.965</v>
      </c>
      <c r="IM55" s="14">
        <v>29.954999999999998</v>
      </c>
      <c r="IN55" s="14">
        <v>29.956</v>
      </c>
      <c r="IO55" s="14">
        <v>29.957999999999998</v>
      </c>
      <c r="IP55" s="14">
        <v>29.957000000000001</v>
      </c>
      <c r="IQ55" s="14">
        <v>29.954999999999998</v>
      </c>
      <c r="IR55" s="14">
        <v>29.960999999999999</v>
      </c>
      <c r="IS55" s="14">
        <v>29.95</v>
      </c>
      <c r="IT55" s="14">
        <v>29.952999999999999</v>
      </c>
      <c r="IU55" s="14">
        <v>29.965</v>
      </c>
      <c r="IV55" s="14">
        <v>29.96</v>
      </c>
      <c r="IW55" s="14"/>
      <c r="IX55" s="14"/>
      <c r="IY55" s="14"/>
      <c r="IZ55" s="14"/>
      <c r="JA55" s="14"/>
      <c r="JB55" s="14">
        <v>29.968</v>
      </c>
      <c r="JC55" s="14">
        <v>29.966999999999999</v>
      </c>
      <c r="JD55" s="14">
        <v>29.966999999999999</v>
      </c>
      <c r="JE55" s="14">
        <v>29.966000000000001</v>
      </c>
      <c r="JF55" s="14">
        <v>29.968</v>
      </c>
      <c r="JG55" s="14">
        <v>29.965</v>
      </c>
      <c r="JH55" s="14">
        <v>29.966000000000001</v>
      </c>
      <c r="JI55" s="14">
        <v>29.96</v>
      </c>
      <c r="JJ55" s="14">
        <v>29.962</v>
      </c>
      <c r="JK55" s="14">
        <v>29.968</v>
      </c>
      <c r="JL55" s="14">
        <v>29.989000000000001</v>
      </c>
      <c r="JM55" s="14">
        <v>29.960999999999999</v>
      </c>
      <c r="JN55" s="14">
        <v>29.957999999999998</v>
      </c>
      <c r="JO55" s="14">
        <v>29.959</v>
      </c>
      <c r="JP55" s="14">
        <v>29.960999999999999</v>
      </c>
      <c r="JQ55" s="14"/>
      <c r="JR55" s="14"/>
      <c r="JS55" s="14"/>
      <c r="JT55" s="14"/>
      <c r="JU55" s="14"/>
      <c r="JV55" s="14">
        <v>29.962</v>
      </c>
      <c r="JW55" s="14">
        <v>29.960999999999999</v>
      </c>
      <c r="JX55" s="14">
        <v>29.957000000000001</v>
      </c>
      <c r="JY55" s="14">
        <v>29.957999999999998</v>
      </c>
      <c r="JZ55" s="14">
        <v>29.960999999999999</v>
      </c>
      <c r="KA55" s="14">
        <v>29.951000000000001</v>
      </c>
      <c r="KB55" s="14">
        <v>29.952000000000002</v>
      </c>
      <c r="KC55" s="14">
        <v>29.954999999999998</v>
      </c>
      <c r="KD55" s="14">
        <v>29.956</v>
      </c>
      <c r="KE55" s="14">
        <v>29.954999999999998</v>
      </c>
      <c r="KF55" s="14">
        <v>29.954000000000001</v>
      </c>
      <c r="KG55" s="14">
        <v>29.959</v>
      </c>
      <c r="KH55" s="14">
        <v>29.96</v>
      </c>
      <c r="KI55" s="14">
        <v>29.965</v>
      </c>
      <c r="KJ55" s="14">
        <v>29.97</v>
      </c>
      <c r="KK55" s="14">
        <v>29.963000000000001</v>
      </c>
      <c r="KL55" s="14">
        <v>29.96</v>
      </c>
      <c r="KM55" s="14">
        <v>29.962</v>
      </c>
      <c r="KN55" s="14">
        <v>29.960999999999999</v>
      </c>
      <c r="KO55" s="14">
        <v>29.965</v>
      </c>
      <c r="KP55" s="14"/>
      <c r="KQ55" s="14"/>
      <c r="KR55" s="14"/>
      <c r="KS55" s="14"/>
      <c r="KT55" s="14"/>
      <c r="KU55" s="14"/>
      <c r="KV55" s="14"/>
      <c r="KW55" s="14"/>
      <c r="KX55" s="14"/>
      <c r="KY55" s="14"/>
      <c r="KZ55" s="14"/>
      <c r="LA55" s="14"/>
      <c r="LB55" s="14"/>
      <c r="LC55" s="14"/>
      <c r="LD55" s="14"/>
      <c r="LE55" s="14"/>
      <c r="LF55" s="14"/>
      <c r="LG55" s="14"/>
      <c r="LH55" s="14"/>
      <c r="LI55" s="14"/>
      <c r="LJ55" s="12">
        <f t="shared" si="9"/>
        <v>20</v>
      </c>
      <c r="LK55" s="6">
        <f t="shared" si="10"/>
        <v>83.913049999999998</v>
      </c>
      <c r="LL55" s="2">
        <f t="shared" si="11"/>
        <v>4.2112006039047387E-3</v>
      </c>
      <c r="LM55" s="7">
        <f t="shared" si="12"/>
        <v>1.8996957762069371</v>
      </c>
      <c r="LN55" s="7">
        <f t="shared" si="13"/>
        <v>2.766431974101665</v>
      </c>
      <c r="LO55" s="7">
        <f t="shared" si="14"/>
        <v>1.0329595783122092</v>
      </c>
      <c r="LP55" s="7">
        <f t="shared" si="0"/>
        <v>1.0329595783122092</v>
      </c>
    </row>
    <row r="56" spans="1:328" ht="30" customHeight="1">
      <c r="A56" s="2" t="s">
        <v>48</v>
      </c>
      <c r="B56" s="2" t="s">
        <v>73</v>
      </c>
      <c r="C56" s="2" t="s">
        <v>106</v>
      </c>
      <c r="D56" s="2" t="s">
        <v>33</v>
      </c>
      <c r="E56" s="5">
        <v>36.514000000000003</v>
      </c>
      <c r="F56" s="5">
        <v>36.488999999999997</v>
      </c>
      <c r="G56" s="5">
        <f t="shared" si="1"/>
        <v>36.5015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>
        <v>36.491</v>
      </c>
      <c r="AM56" s="5">
        <v>36.500999999999998</v>
      </c>
      <c r="AN56" s="5">
        <v>36.51</v>
      </c>
      <c r="AO56" s="5">
        <v>36.505000000000003</v>
      </c>
      <c r="AP56" s="5">
        <v>36.500999999999998</v>
      </c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>
        <v>36.484999999999999</v>
      </c>
      <c r="BL56" s="5">
        <v>36.488999999999997</v>
      </c>
      <c r="BM56" s="5">
        <v>36.491</v>
      </c>
      <c r="BN56" s="5">
        <v>36.487000000000002</v>
      </c>
      <c r="BO56" s="5">
        <v>36.485999999999997</v>
      </c>
      <c r="BP56" s="5">
        <v>36.488</v>
      </c>
      <c r="BQ56" s="5">
        <v>36.491</v>
      </c>
      <c r="BR56" s="5">
        <v>36.494</v>
      </c>
      <c r="BS56" s="5">
        <v>36.488999999999997</v>
      </c>
      <c r="BT56" s="5">
        <v>36.491</v>
      </c>
      <c r="BU56" s="5">
        <v>36.488999999999997</v>
      </c>
      <c r="BV56" s="5">
        <v>36.49</v>
      </c>
      <c r="BW56" s="5">
        <v>36.496000000000002</v>
      </c>
      <c r="BX56" s="5">
        <v>36.491</v>
      </c>
      <c r="BY56" s="5">
        <v>36.487000000000002</v>
      </c>
      <c r="BZ56" s="5">
        <v>36.49</v>
      </c>
      <c r="CA56" s="5">
        <v>36.496000000000002</v>
      </c>
      <c r="CB56" s="5">
        <v>36.494999999999997</v>
      </c>
      <c r="CC56" s="5">
        <v>36.497999999999998</v>
      </c>
      <c r="CD56" s="5">
        <v>36.499000000000002</v>
      </c>
      <c r="CE56" s="5">
        <v>36.497999999999998</v>
      </c>
      <c r="CF56" s="5">
        <v>36.493000000000002</v>
      </c>
      <c r="CG56" s="5">
        <v>36.494999999999997</v>
      </c>
      <c r="CH56" s="5">
        <v>36.496000000000002</v>
      </c>
      <c r="CI56" s="5">
        <v>39.497999999999998</v>
      </c>
      <c r="CJ56" s="5">
        <v>36.491</v>
      </c>
      <c r="CK56" s="5">
        <v>36.500999999999998</v>
      </c>
      <c r="CL56" s="5">
        <v>36.488</v>
      </c>
      <c r="CM56" s="5">
        <v>36.488999999999997</v>
      </c>
      <c r="CN56" s="5">
        <v>36.491999999999997</v>
      </c>
      <c r="CO56" s="5"/>
      <c r="CP56" s="5"/>
      <c r="CQ56" s="5"/>
      <c r="CR56" s="5"/>
      <c r="CS56" s="5"/>
      <c r="CT56" s="5">
        <v>36.491</v>
      </c>
      <c r="CU56" s="5">
        <v>36.494</v>
      </c>
      <c r="CV56" s="5">
        <v>36.499000000000002</v>
      </c>
      <c r="CW56" s="5">
        <v>36.500999999999998</v>
      </c>
      <c r="CX56" s="5">
        <v>36.491</v>
      </c>
      <c r="CY56" s="5">
        <v>36.488</v>
      </c>
      <c r="CZ56" s="5">
        <v>36.488999999999997</v>
      </c>
      <c r="DA56" s="5">
        <v>36.488999999999997</v>
      </c>
      <c r="DB56" s="5">
        <v>36.491</v>
      </c>
      <c r="DC56" s="5">
        <v>36.491</v>
      </c>
      <c r="DD56" s="5">
        <v>36.494999999999997</v>
      </c>
      <c r="DE56" s="5">
        <v>36.497999999999998</v>
      </c>
      <c r="DF56" s="5">
        <v>36.497</v>
      </c>
      <c r="DG56" s="5">
        <v>36.5</v>
      </c>
      <c r="DH56" s="5">
        <v>36.499000000000002</v>
      </c>
      <c r="DI56" s="5"/>
      <c r="DJ56" s="5"/>
      <c r="DK56" s="5"/>
      <c r="DL56" s="5"/>
      <c r="DM56" s="5"/>
      <c r="DN56" s="5">
        <v>36.496000000000002</v>
      </c>
      <c r="DO56" s="5">
        <v>36.493000000000002</v>
      </c>
      <c r="DP56" s="5">
        <v>36.491</v>
      </c>
      <c r="DQ56" s="5">
        <v>36.488999999999997</v>
      </c>
      <c r="DR56" s="5">
        <v>36.487000000000002</v>
      </c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>
        <v>36.488</v>
      </c>
      <c r="HM56" s="13">
        <v>36.488999999999997</v>
      </c>
      <c r="HN56" s="14">
        <v>36.491</v>
      </c>
      <c r="HO56" s="14">
        <v>36.49</v>
      </c>
      <c r="HP56" s="14">
        <v>36.491999999999997</v>
      </c>
      <c r="HQ56" s="14"/>
      <c r="HR56" s="14"/>
      <c r="HS56" s="14"/>
      <c r="HT56" s="14"/>
      <c r="HU56" s="14"/>
      <c r="HV56" s="14"/>
      <c r="HW56" s="14"/>
      <c r="HX56" s="11"/>
      <c r="HY56" s="11"/>
      <c r="HZ56" s="11"/>
      <c r="IA56" s="11"/>
      <c r="IB56" s="11"/>
      <c r="IC56" s="11"/>
      <c r="ID56" s="11"/>
      <c r="IE56" s="11"/>
      <c r="IF56" s="11"/>
      <c r="IG56" s="11"/>
      <c r="IH56" s="14">
        <v>36.484999999999999</v>
      </c>
      <c r="II56" s="14">
        <v>36.491</v>
      </c>
      <c r="IJ56" s="14">
        <v>36.494999999999997</v>
      </c>
      <c r="IK56" s="14">
        <v>36.488</v>
      </c>
      <c r="IL56" s="14">
        <v>36.496000000000002</v>
      </c>
      <c r="IM56" s="14">
        <v>36.491999999999997</v>
      </c>
      <c r="IN56" s="14">
        <v>36.493000000000002</v>
      </c>
      <c r="IO56" s="14">
        <v>36.491</v>
      </c>
      <c r="IP56" s="14">
        <v>36.491</v>
      </c>
      <c r="IQ56" s="14">
        <v>36.493000000000002</v>
      </c>
      <c r="IR56" s="14">
        <v>36.491</v>
      </c>
      <c r="IS56" s="14">
        <v>36.488</v>
      </c>
      <c r="IT56" s="14">
        <v>36.493000000000002</v>
      </c>
      <c r="IU56" s="14">
        <v>36.488999999999997</v>
      </c>
      <c r="IV56" s="14">
        <v>36.49</v>
      </c>
      <c r="IW56" s="14"/>
      <c r="IX56" s="14"/>
      <c r="IY56" s="14"/>
      <c r="IZ56" s="14"/>
      <c r="JA56" s="14"/>
      <c r="JB56" s="14">
        <v>36.494999999999997</v>
      </c>
      <c r="JC56" s="14">
        <v>36.494</v>
      </c>
      <c r="JD56" s="14">
        <v>36.491</v>
      </c>
      <c r="JE56" s="14">
        <v>36.491</v>
      </c>
      <c r="JF56" s="14">
        <v>36.493000000000002</v>
      </c>
      <c r="JG56" s="14">
        <v>36.494999999999997</v>
      </c>
      <c r="JH56" s="14">
        <v>36.493000000000002</v>
      </c>
      <c r="JI56" s="14">
        <v>36.491999999999997</v>
      </c>
      <c r="JJ56" s="14">
        <v>36.494</v>
      </c>
      <c r="JK56" s="14">
        <v>36.493000000000002</v>
      </c>
      <c r="JL56" s="14">
        <v>36.494999999999997</v>
      </c>
      <c r="JM56" s="14">
        <v>36.491</v>
      </c>
      <c r="JN56" s="14">
        <v>36.488999999999997</v>
      </c>
      <c r="JO56" s="14">
        <v>36.494</v>
      </c>
      <c r="JP56" s="14">
        <v>36.496000000000002</v>
      </c>
      <c r="JQ56" s="14"/>
      <c r="JR56" s="14"/>
      <c r="JS56" s="14"/>
      <c r="JT56" s="14"/>
      <c r="JU56" s="14"/>
      <c r="JV56" s="14">
        <v>36.491999999999997</v>
      </c>
      <c r="JW56" s="14">
        <v>36.488</v>
      </c>
      <c r="JX56" s="14">
        <v>36.49</v>
      </c>
      <c r="JY56" s="14">
        <v>36.487000000000002</v>
      </c>
      <c r="JZ56" s="14">
        <v>36.491</v>
      </c>
      <c r="KA56" s="14">
        <v>36.481000000000002</v>
      </c>
      <c r="KB56" s="14">
        <v>36.481999999999999</v>
      </c>
      <c r="KC56" s="14">
        <v>36.484999999999999</v>
      </c>
      <c r="KD56" s="14">
        <v>36.485999999999997</v>
      </c>
      <c r="KE56" s="14">
        <v>36.484999999999999</v>
      </c>
      <c r="KF56" s="14">
        <v>36.497999999999998</v>
      </c>
      <c r="KG56" s="14">
        <v>36.491</v>
      </c>
      <c r="KH56" s="14">
        <v>36.494999999999997</v>
      </c>
      <c r="KI56" s="14">
        <v>36.49</v>
      </c>
      <c r="KJ56" s="14">
        <v>36.493000000000002</v>
      </c>
      <c r="KK56" s="14">
        <v>36.494</v>
      </c>
      <c r="KL56" s="14">
        <v>36.493000000000002</v>
      </c>
      <c r="KM56" s="14">
        <v>36.494999999999997</v>
      </c>
      <c r="KN56" s="14">
        <v>36.491</v>
      </c>
      <c r="KO56" s="14">
        <v>36.49</v>
      </c>
      <c r="KP56" s="14"/>
      <c r="KQ56" s="14"/>
      <c r="KR56" s="14"/>
      <c r="KS56" s="14"/>
      <c r="KT56" s="14"/>
      <c r="KU56" s="14"/>
      <c r="KV56" s="14"/>
      <c r="KW56" s="14"/>
      <c r="KX56" s="14"/>
      <c r="KY56" s="14"/>
      <c r="KZ56" s="14"/>
      <c r="LA56" s="14"/>
      <c r="LB56" s="14"/>
      <c r="LC56" s="14"/>
      <c r="LD56" s="14"/>
      <c r="LE56" s="14"/>
      <c r="LF56" s="14"/>
      <c r="LG56" s="14"/>
      <c r="LH56" s="14"/>
      <c r="LI56" s="14"/>
      <c r="LJ56" s="12">
        <f t="shared" si="9"/>
        <v>15</v>
      </c>
      <c r="LK56" s="6">
        <f t="shared" si="10"/>
        <v>29.942666666666664</v>
      </c>
      <c r="LL56" s="2">
        <f t="shared" si="11"/>
        <v>2.0930724738895102E-3</v>
      </c>
      <c r="LM56" s="7">
        <f t="shared" si="12"/>
        <v>1.2740441145411261</v>
      </c>
      <c r="LN56" s="7">
        <f t="shared" si="13"/>
        <v>1.4863848002984992</v>
      </c>
      <c r="LO56" s="7">
        <f t="shared" si="14"/>
        <v>1.061703428783753</v>
      </c>
      <c r="LP56" s="7">
        <f>MIN(LN56:LO56)</f>
        <v>1.061703428783753</v>
      </c>
    </row>
    <row r="57" spans="1:328" ht="30" customHeight="1">
      <c r="A57" s="2" t="s">
        <v>48</v>
      </c>
      <c r="B57" s="2" t="s">
        <v>73</v>
      </c>
      <c r="C57" s="2" t="s">
        <v>106</v>
      </c>
      <c r="D57" s="2" t="s">
        <v>55</v>
      </c>
      <c r="E57" s="5">
        <v>83.947999999999993</v>
      </c>
      <c r="F57" s="5">
        <v>83.9</v>
      </c>
      <c r="G57" s="5">
        <f t="shared" si="1"/>
        <v>83.924000000000007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>
        <v>83.903999999999996</v>
      </c>
      <c r="BL57" s="5">
        <v>83.911000000000001</v>
      </c>
      <c r="BM57" s="5">
        <v>83.918000000000006</v>
      </c>
      <c r="BN57" s="5">
        <v>83.915999999999997</v>
      </c>
      <c r="BO57" s="5">
        <v>83.905000000000001</v>
      </c>
      <c r="BP57" s="5">
        <v>83.912999999999997</v>
      </c>
      <c r="BQ57" s="5">
        <v>83.911000000000001</v>
      </c>
      <c r="BR57" s="5">
        <v>83.91</v>
      </c>
      <c r="BS57" s="5">
        <v>83.912999999999997</v>
      </c>
      <c r="BT57" s="5">
        <v>83.917000000000002</v>
      </c>
      <c r="BU57" s="5">
        <v>83.911000000000001</v>
      </c>
      <c r="BV57" s="5">
        <v>83.909000000000006</v>
      </c>
      <c r="BW57" s="5">
        <v>83.912999999999997</v>
      </c>
      <c r="BX57" s="5">
        <v>83.915999999999997</v>
      </c>
      <c r="BY57" s="5">
        <v>83.914000000000001</v>
      </c>
      <c r="BZ57" s="5">
        <v>83.914000000000001</v>
      </c>
      <c r="CA57" s="5">
        <v>83.918000000000006</v>
      </c>
      <c r="CB57" s="5">
        <v>83.921000000000006</v>
      </c>
      <c r="CC57" s="5">
        <v>83.912000000000006</v>
      </c>
      <c r="CD57" s="5">
        <v>83.915000000000006</v>
      </c>
      <c r="CE57" s="5">
        <v>83.911000000000001</v>
      </c>
      <c r="CF57" s="5">
        <v>83.915000000000006</v>
      </c>
      <c r="CG57" s="5">
        <v>83.912999999999997</v>
      </c>
      <c r="CH57" s="5">
        <v>83.918999999999997</v>
      </c>
      <c r="CI57" s="5">
        <v>83.912999999999997</v>
      </c>
      <c r="CJ57" s="5">
        <v>83.912000000000006</v>
      </c>
      <c r="CK57" s="5">
        <v>83.915000000000006</v>
      </c>
      <c r="CL57" s="5">
        <v>83.918000000000006</v>
      </c>
      <c r="CM57" s="5">
        <v>83.917000000000002</v>
      </c>
      <c r="CN57" s="5">
        <v>83.915999999999997</v>
      </c>
      <c r="CO57" s="5"/>
      <c r="CP57" s="5"/>
      <c r="CQ57" s="5"/>
      <c r="CR57" s="5"/>
      <c r="CS57" s="5"/>
      <c r="CT57" s="5">
        <v>83.915999999999997</v>
      </c>
      <c r="CU57" s="5">
        <v>83.903000000000006</v>
      </c>
      <c r="CV57" s="5">
        <v>83.912999999999997</v>
      </c>
      <c r="CW57" s="5">
        <v>83.923000000000002</v>
      </c>
      <c r="CX57" s="5">
        <v>83.917000000000002</v>
      </c>
      <c r="CY57" s="5">
        <v>83.915999999999997</v>
      </c>
      <c r="CZ57" s="5">
        <v>83.914000000000001</v>
      </c>
      <c r="DA57" s="5">
        <v>83.914000000000001</v>
      </c>
      <c r="DB57" s="5">
        <v>83.912000000000006</v>
      </c>
      <c r="DC57" s="5">
        <v>83.912000000000006</v>
      </c>
      <c r="DD57" s="5">
        <v>83.912999999999997</v>
      </c>
      <c r="DE57" s="5">
        <v>83.915999999999997</v>
      </c>
      <c r="DF57" s="5">
        <v>83.909000000000006</v>
      </c>
      <c r="DG57" s="5">
        <v>83.906999999999996</v>
      </c>
      <c r="DH57" s="5">
        <v>83.912000000000006</v>
      </c>
      <c r="DI57" s="5"/>
      <c r="DJ57" s="5"/>
      <c r="DK57" s="5"/>
      <c r="DL57" s="5"/>
      <c r="DM57" s="5"/>
      <c r="DN57" s="5">
        <v>83.923000000000002</v>
      </c>
      <c r="DO57" s="5">
        <v>83.912999999999997</v>
      </c>
      <c r="DP57" s="5">
        <v>83.914000000000001</v>
      </c>
      <c r="DQ57" s="5">
        <v>83.915000000000006</v>
      </c>
      <c r="DR57" s="5">
        <v>83.912999999999997</v>
      </c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>
        <v>83.903000000000006</v>
      </c>
      <c r="HM57" s="13">
        <v>83.906999999999996</v>
      </c>
      <c r="HN57" s="14">
        <v>83.903999999999996</v>
      </c>
      <c r="HO57" s="14">
        <v>83.908000000000001</v>
      </c>
      <c r="HP57" s="14">
        <v>83.906000000000006</v>
      </c>
      <c r="HQ57" s="14"/>
      <c r="HR57" s="14"/>
      <c r="HS57" s="14"/>
      <c r="HT57" s="14"/>
      <c r="HU57" s="14"/>
      <c r="HV57" s="14"/>
      <c r="HW57" s="14"/>
      <c r="HX57" s="11"/>
      <c r="HY57" s="11"/>
      <c r="HZ57" s="11"/>
      <c r="IA57" s="11"/>
      <c r="IB57" s="11"/>
      <c r="IC57" s="11"/>
      <c r="ID57" s="11"/>
      <c r="IE57" s="11"/>
      <c r="IF57" s="11"/>
      <c r="IG57" s="11"/>
      <c r="IH57" s="14">
        <v>83.905000000000001</v>
      </c>
      <c r="II57" s="14">
        <v>83.909000000000006</v>
      </c>
      <c r="IJ57" s="14">
        <v>83.912000000000006</v>
      </c>
      <c r="IK57" s="14">
        <v>83.914000000000001</v>
      </c>
      <c r="IL57" s="14">
        <v>83.917000000000002</v>
      </c>
      <c r="IM57" s="14">
        <v>83.912999999999997</v>
      </c>
      <c r="IN57" s="14">
        <v>83.915000000000006</v>
      </c>
      <c r="IO57" s="14">
        <v>83.914000000000001</v>
      </c>
      <c r="IP57" s="14">
        <v>83.912999999999997</v>
      </c>
      <c r="IQ57" s="14">
        <v>83.912000000000006</v>
      </c>
      <c r="IR57" s="14">
        <v>83.900999999999996</v>
      </c>
      <c r="IS57" s="14">
        <v>83.905000000000001</v>
      </c>
      <c r="IT57" s="14">
        <v>83.912000000000006</v>
      </c>
      <c r="IU57" s="14">
        <v>83.915000000000006</v>
      </c>
      <c r="IV57" s="14">
        <v>83.917000000000002</v>
      </c>
      <c r="IW57" s="14"/>
      <c r="IX57" s="14"/>
      <c r="IY57" s="14"/>
      <c r="IZ57" s="14"/>
      <c r="JA57" s="14"/>
      <c r="JB57" s="14">
        <v>83.905000000000001</v>
      </c>
      <c r="JC57" s="14">
        <v>83.903999999999996</v>
      </c>
      <c r="JD57" s="14">
        <v>83.905000000000001</v>
      </c>
      <c r="JE57" s="14">
        <v>83.903000000000006</v>
      </c>
      <c r="JF57" s="14">
        <v>83.906999999999996</v>
      </c>
      <c r="JG57" s="14">
        <v>83.909000000000006</v>
      </c>
      <c r="JH57" s="14">
        <v>83.906999999999996</v>
      </c>
      <c r="JI57" s="14">
        <v>83.905000000000001</v>
      </c>
      <c r="JJ57" s="14">
        <v>83.903000000000006</v>
      </c>
      <c r="JK57" s="14">
        <v>83.906999999999996</v>
      </c>
      <c r="JL57" s="14">
        <v>83.911000000000001</v>
      </c>
      <c r="JM57" s="14">
        <v>83.909000000000006</v>
      </c>
      <c r="JN57" s="14">
        <v>83.91</v>
      </c>
      <c r="JO57" s="14">
        <v>83.912000000000006</v>
      </c>
      <c r="JP57" s="14">
        <v>83.908000000000001</v>
      </c>
      <c r="JQ57" s="14"/>
      <c r="JR57" s="14"/>
      <c r="JS57" s="14"/>
      <c r="JT57" s="14"/>
      <c r="JU57" s="14"/>
      <c r="JV57" s="14">
        <v>83.912999999999997</v>
      </c>
      <c r="JW57" s="14">
        <v>83.912000000000006</v>
      </c>
      <c r="JX57" s="14">
        <v>83.914000000000001</v>
      </c>
      <c r="JY57" s="14">
        <v>83.915999999999997</v>
      </c>
      <c r="JZ57" s="14">
        <v>83.915000000000006</v>
      </c>
      <c r="KA57" s="14">
        <v>83.914000000000001</v>
      </c>
      <c r="KB57" s="14">
        <v>83.915000000000006</v>
      </c>
      <c r="KC57" s="14">
        <v>83.918999999999997</v>
      </c>
      <c r="KD57" s="14">
        <v>83.918000000000006</v>
      </c>
      <c r="KE57" s="14">
        <v>83.915999999999997</v>
      </c>
      <c r="KF57" s="14">
        <v>83.915000000000006</v>
      </c>
      <c r="KG57" s="14">
        <v>83.91</v>
      </c>
      <c r="KH57" s="14">
        <v>83.917000000000002</v>
      </c>
      <c r="KI57" s="14">
        <v>83.908000000000001</v>
      </c>
      <c r="KJ57" s="14">
        <v>83.915000000000006</v>
      </c>
      <c r="KK57" s="14">
        <v>83.912999999999997</v>
      </c>
      <c r="KL57" s="14">
        <v>83.917000000000002</v>
      </c>
      <c r="KM57" s="14">
        <v>83.915000000000006</v>
      </c>
      <c r="KN57" s="14">
        <v>83.914000000000001</v>
      </c>
      <c r="KO57" s="14">
        <v>83.915000000000006</v>
      </c>
      <c r="KP57" s="14"/>
      <c r="KQ57" s="14"/>
      <c r="KR57" s="14"/>
      <c r="KS57" s="14"/>
      <c r="KT57" s="14"/>
      <c r="KU57" s="14"/>
      <c r="KV57" s="14"/>
      <c r="KW57" s="14"/>
      <c r="KX57" s="14"/>
      <c r="KY57" s="14"/>
      <c r="KZ57" s="14"/>
      <c r="LA57" s="14"/>
      <c r="LB57" s="14"/>
      <c r="LC57" s="14"/>
      <c r="LD57" s="14"/>
      <c r="LE57" s="14"/>
      <c r="LF57" s="14"/>
      <c r="LG57" s="14"/>
      <c r="LH57" s="14"/>
      <c r="LI57" s="14"/>
      <c r="LJ57" s="12"/>
      <c r="LK57" s="6"/>
      <c r="LL57" s="2"/>
      <c r="LM57" s="7"/>
      <c r="LN57" s="7"/>
      <c r="LO57" s="7"/>
      <c r="LP57" s="7"/>
    </row>
    <row r="58" spans="1:328" ht="30" customHeight="1">
      <c r="A58" s="2" t="s">
        <v>48</v>
      </c>
      <c r="B58" s="2" t="s">
        <v>75</v>
      </c>
      <c r="C58" s="2"/>
      <c r="D58" s="2" t="s">
        <v>33</v>
      </c>
      <c r="E58" s="5">
        <v>29.952000000000002</v>
      </c>
      <c r="F58" s="5">
        <v>29.936</v>
      </c>
      <c r="G58" s="5">
        <f t="shared" si="1"/>
        <v>29.944000000000003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>
        <v>29.940999999999999</v>
      </c>
      <c r="BL58" s="5">
        <v>29.943999999999999</v>
      </c>
      <c r="BM58" s="5">
        <v>29.942</v>
      </c>
      <c r="BN58" s="5">
        <v>29.94</v>
      </c>
      <c r="BO58" s="5">
        <v>29.942</v>
      </c>
      <c r="BP58" s="5">
        <v>29.943000000000001</v>
      </c>
      <c r="BQ58" s="5">
        <v>29.943999999999999</v>
      </c>
      <c r="BR58" s="5">
        <v>29.946000000000002</v>
      </c>
      <c r="BS58" s="5">
        <v>29.940999999999999</v>
      </c>
      <c r="BT58" s="5">
        <v>29.943000000000001</v>
      </c>
      <c r="BU58" s="5">
        <v>29.945</v>
      </c>
      <c r="BV58" s="5">
        <v>29.939</v>
      </c>
      <c r="BW58" s="5">
        <v>29.940999999999999</v>
      </c>
      <c r="BX58" s="5">
        <v>29.946000000000002</v>
      </c>
      <c r="BY58" s="5">
        <v>29.943000000000001</v>
      </c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>
        <v>29.939</v>
      </c>
      <c r="DO58" s="5">
        <v>29.940999999999999</v>
      </c>
      <c r="DP58" s="5">
        <v>29.94</v>
      </c>
      <c r="DQ58" s="5">
        <v>29.943000000000001</v>
      </c>
      <c r="DR58" s="5">
        <v>29.943999999999999</v>
      </c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13"/>
      <c r="HN58" s="14"/>
      <c r="HO58" s="14"/>
      <c r="HP58" s="14"/>
      <c r="HQ58" s="14"/>
      <c r="HR58" s="14"/>
      <c r="HS58" s="14"/>
      <c r="HT58" s="14"/>
      <c r="HU58" s="14"/>
      <c r="HV58" s="14"/>
      <c r="HW58" s="14"/>
      <c r="HX58" s="11"/>
      <c r="HY58" s="11"/>
      <c r="HZ58" s="11"/>
      <c r="IA58" s="11"/>
      <c r="IB58" s="11"/>
      <c r="IC58" s="11"/>
      <c r="ID58" s="11"/>
      <c r="IE58" s="11"/>
      <c r="IF58" s="11"/>
      <c r="IG58" s="11"/>
      <c r="IH58" s="14">
        <v>29.943999999999999</v>
      </c>
      <c r="II58" s="14">
        <v>29.939</v>
      </c>
      <c r="IJ58" s="14">
        <v>29.948</v>
      </c>
      <c r="IK58" s="14">
        <v>29.943000000000001</v>
      </c>
      <c r="IL58" s="14">
        <v>29.942</v>
      </c>
      <c r="IM58" s="14">
        <v>29.943000000000001</v>
      </c>
      <c r="IN58" s="14">
        <v>29.939</v>
      </c>
      <c r="IO58" s="14">
        <v>29.94</v>
      </c>
      <c r="IP58" s="14">
        <v>29.940999999999999</v>
      </c>
      <c r="IQ58" s="14">
        <v>29.942</v>
      </c>
      <c r="IR58" s="14">
        <v>29.940999999999999</v>
      </c>
      <c r="IS58" s="14">
        <v>29.943000000000001</v>
      </c>
      <c r="IT58" s="14">
        <v>29.94</v>
      </c>
      <c r="IU58" s="14">
        <v>29.942</v>
      </c>
      <c r="IV58" s="14">
        <v>29.940999999999999</v>
      </c>
      <c r="IW58" s="14"/>
      <c r="IX58" s="14"/>
      <c r="IY58" s="14"/>
      <c r="IZ58" s="14"/>
      <c r="JA58" s="14"/>
      <c r="JB58" s="14">
        <v>29.943000000000001</v>
      </c>
      <c r="JC58" s="14">
        <v>29.942</v>
      </c>
      <c r="JD58" s="14">
        <v>29.943999999999999</v>
      </c>
      <c r="JE58" s="14">
        <v>29.940999999999999</v>
      </c>
      <c r="JF58" s="14">
        <v>29.943000000000001</v>
      </c>
      <c r="JG58" s="14"/>
      <c r="JH58" s="14"/>
      <c r="JI58" s="14"/>
      <c r="JJ58" s="14"/>
      <c r="JK58" s="14"/>
      <c r="JL58" s="14">
        <v>29.942</v>
      </c>
      <c r="JM58" s="14">
        <v>29.940999999999999</v>
      </c>
      <c r="JN58" s="14">
        <v>29.943000000000001</v>
      </c>
      <c r="JO58" s="14">
        <v>29.94</v>
      </c>
      <c r="JP58" s="14">
        <v>29.943000000000001</v>
      </c>
      <c r="JQ58" s="14">
        <v>29.940999999999999</v>
      </c>
      <c r="JR58" s="14">
        <v>29.943000000000001</v>
      </c>
      <c r="JS58" s="14">
        <v>29.943999999999999</v>
      </c>
      <c r="JT58" s="14">
        <v>29.94</v>
      </c>
      <c r="JU58" s="14">
        <v>29.943999999999999</v>
      </c>
      <c r="JV58" s="14">
        <v>29.942</v>
      </c>
      <c r="JW58" s="14">
        <v>29.943000000000001</v>
      </c>
      <c r="JX58" s="14">
        <v>29.945</v>
      </c>
      <c r="JY58" s="14">
        <v>29.946999999999999</v>
      </c>
      <c r="JZ58" s="14">
        <v>29.943999999999999</v>
      </c>
      <c r="KA58" s="14">
        <v>29.943999999999999</v>
      </c>
      <c r="KB58" s="14">
        <v>29.942</v>
      </c>
      <c r="KC58" s="14">
        <v>29.94</v>
      </c>
      <c r="KD58" s="14">
        <v>29.942</v>
      </c>
      <c r="KE58" s="14">
        <v>29.943000000000001</v>
      </c>
      <c r="KF58" s="14">
        <v>29.945</v>
      </c>
      <c r="KG58" s="14">
        <v>29.949000000000002</v>
      </c>
      <c r="KH58" s="14">
        <v>29.940999999999999</v>
      </c>
      <c r="KI58" s="14">
        <v>29.94</v>
      </c>
      <c r="KJ58" s="14">
        <v>29.946999999999999</v>
      </c>
      <c r="KK58" s="14">
        <v>29.945</v>
      </c>
      <c r="KL58" s="14">
        <v>29.94</v>
      </c>
      <c r="KM58" s="14">
        <v>29.946999999999999</v>
      </c>
      <c r="KN58" s="14">
        <v>29.943999999999999</v>
      </c>
      <c r="KO58" s="14">
        <v>29.946000000000002</v>
      </c>
      <c r="KP58" s="14"/>
      <c r="KQ58" s="14"/>
      <c r="KR58" s="14"/>
      <c r="KS58" s="14"/>
      <c r="KT58" s="14"/>
      <c r="KU58" s="14"/>
      <c r="KV58" s="14"/>
      <c r="KW58" s="14"/>
      <c r="KX58" s="14"/>
      <c r="KY58" s="14"/>
      <c r="KZ58" s="14"/>
      <c r="LA58" s="14"/>
      <c r="LB58" s="14"/>
      <c r="LC58" s="14"/>
      <c r="LD58" s="14"/>
      <c r="LE58" s="14"/>
      <c r="LF58" s="14"/>
      <c r="LG58" s="14"/>
      <c r="LH58" s="14"/>
      <c r="LI58" s="14"/>
      <c r="LJ58" s="12">
        <f>COUNT(H60:CD60)</f>
        <v>15</v>
      </c>
      <c r="LK58" s="6">
        <f>AVERAGE(H60:CD60)</f>
        <v>41.949933333333327</v>
      </c>
      <c r="LL58" s="2">
        <f>STDEVA(H60:CD60)</f>
        <v>1.8309508328688655E-3</v>
      </c>
      <c r="LM58" s="7">
        <f>(E60-F60)/(6*LL58)</f>
        <v>1.547465547665398</v>
      </c>
      <c r="LN58" s="7">
        <f>(E60-LK58)/(3*LL58)</f>
        <v>2.7429585393925291</v>
      </c>
      <c r="LO58" s="7">
        <f>(LK58-F60)/(3*LL58)</f>
        <v>0.35197255593826682</v>
      </c>
      <c r="LP58" s="7">
        <f>MIN(LN58:LO58)</f>
        <v>0.35197255593826682</v>
      </c>
    </row>
    <row r="59" spans="1:328" ht="30" customHeight="1">
      <c r="A59" s="2" t="s">
        <v>48</v>
      </c>
      <c r="B59" s="2" t="s">
        <v>75</v>
      </c>
      <c r="C59" s="2"/>
      <c r="D59" s="2" t="s">
        <v>33</v>
      </c>
      <c r="E59" s="10"/>
      <c r="F59" s="10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>
        <v>31.446999999999999</v>
      </c>
      <c r="BB59" s="5">
        <v>31.445</v>
      </c>
      <c r="BC59" s="5">
        <v>31.451000000000001</v>
      </c>
      <c r="BD59" s="5">
        <v>31.452999999999999</v>
      </c>
      <c r="BE59" s="5">
        <v>31.445</v>
      </c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13"/>
      <c r="HN59" s="14"/>
      <c r="HO59" s="14"/>
      <c r="HP59" s="14"/>
      <c r="HQ59" s="14"/>
      <c r="HR59" s="14"/>
      <c r="HS59" s="14"/>
      <c r="HT59" s="14"/>
      <c r="HU59" s="14"/>
      <c r="HV59" s="14"/>
      <c r="HW59" s="14"/>
      <c r="HX59" s="11"/>
      <c r="HY59" s="11"/>
      <c r="HZ59" s="11"/>
      <c r="IA59" s="11"/>
      <c r="IB59" s="11"/>
      <c r="IC59" s="11"/>
      <c r="ID59" s="11"/>
      <c r="IE59" s="11"/>
      <c r="IF59" s="11"/>
      <c r="IG59" s="11"/>
      <c r="IH59" s="14"/>
      <c r="II59" s="14"/>
      <c r="IJ59" s="14"/>
      <c r="IK59" s="14"/>
      <c r="IL59" s="14"/>
      <c r="IM59" s="14"/>
      <c r="IN59" s="14"/>
      <c r="IO59" s="14"/>
      <c r="IP59" s="14"/>
      <c r="IQ59" s="14"/>
      <c r="IR59" s="14"/>
      <c r="IS59" s="14"/>
      <c r="IT59" s="14"/>
      <c r="IU59" s="14"/>
      <c r="IV59" s="14"/>
      <c r="IW59" s="14"/>
      <c r="IX59" s="14"/>
      <c r="IY59" s="14"/>
      <c r="IZ59" s="14"/>
      <c r="JA59" s="14"/>
      <c r="JB59" s="14"/>
      <c r="JC59" s="14"/>
      <c r="JD59" s="14"/>
      <c r="JE59" s="14"/>
      <c r="JF59" s="14"/>
      <c r="JG59" s="14"/>
      <c r="JH59" s="14"/>
      <c r="JI59" s="14"/>
      <c r="JJ59" s="14"/>
      <c r="JK59" s="14"/>
      <c r="JL59" s="14"/>
      <c r="JM59" s="14"/>
      <c r="JN59" s="14"/>
      <c r="JO59" s="14"/>
      <c r="JP59" s="14"/>
      <c r="JQ59" s="14"/>
      <c r="JR59" s="14"/>
      <c r="JS59" s="14"/>
      <c r="JT59" s="14"/>
      <c r="JU59" s="14"/>
      <c r="JV59" s="14"/>
      <c r="JW59" s="14"/>
      <c r="JX59" s="14"/>
      <c r="JY59" s="14"/>
      <c r="JZ59" s="14"/>
      <c r="KA59" s="14"/>
      <c r="KB59" s="14"/>
      <c r="KC59" s="14"/>
      <c r="KD59" s="14"/>
      <c r="KE59" s="14"/>
      <c r="KF59" s="14"/>
      <c r="KG59" s="14"/>
      <c r="KH59" s="14"/>
      <c r="KI59" s="14"/>
      <c r="KJ59" s="14"/>
      <c r="KK59" s="14"/>
      <c r="KL59" s="14"/>
      <c r="KM59" s="14"/>
      <c r="KN59" s="14"/>
      <c r="KO59" s="14"/>
      <c r="KP59" s="14"/>
      <c r="KQ59" s="14"/>
      <c r="KR59" s="14"/>
      <c r="KS59" s="14"/>
      <c r="KT59" s="14"/>
      <c r="KU59" s="14"/>
      <c r="KV59" s="14"/>
      <c r="KW59" s="14"/>
      <c r="KX59" s="14"/>
      <c r="KY59" s="14"/>
      <c r="KZ59" s="14"/>
      <c r="LA59" s="14"/>
      <c r="LB59" s="14"/>
      <c r="LC59" s="14"/>
      <c r="LD59" s="14"/>
      <c r="LE59" s="14"/>
      <c r="LF59" s="14"/>
      <c r="LG59" s="14"/>
      <c r="LH59" s="14"/>
      <c r="LI59" s="14"/>
      <c r="LJ59" s="12"/>
      <c r="LK59" s="6"/>
      <c r="LL59" s="2"/>
      <c r="LM59" s="7"/>
      <c r="LN59" s="7"/>
      <c r="LO59" s="7"/>
      <c r="LP59" s="7"/>
    </row>
    <row r="60" spans="1:328" ht="30" customHeight="1">
      <c r="A60" s="2" t="s">
        <v>48</v>
      </c>
      <c r="B60" s="2" t="s">
        <v>75</v>
      </c>
      <c r="C60" s="2"/>
      <c r="D60" s="2" t="s">
        <v>52</v>
      </c>
      <c r="E60" s="5">
        <v>41.965000000000003</v>
      </c>
      <c r="F60" s="5">
        <v>41.948</v>
      </c>
      <c r="G60" s="5">
        <f t="shared" si="1"/>
        <v>41.956500000000005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11"/>
      <c r="BB60" s="11"/>
      <c r="BC60" s="11"/>
      <c r="BD60" s="11"/>
      <c r="BE60" s="11"/>
      <c r="BF60" s="5"/>
      <c r="BG60" s="5"/>
      <c r="BH60" s="5"/>
      <c r="BI60" s="5"/>
      <c r="BJ60" s="5"/>
      <c r="BK60" s="5">
        <v>41.951999999999998</v>
      </c>
      <c r="BL60" s="5">
        <v>41.954000000000001</v>
      </c>
      <c r="BM60" s="5">
        <v>41.951000000000001</v>
      </c>
      <c r="BN60" s="5">
        <v>41.948</v>
      </c>
      <c r="BO60" s="5">
        <v>41.95</v>
      </c>
      <c r="BP60" s="5">
        <v>41.948999999999998</v>
      </c>
      <c r="BQ60" s="5">
        <v>41.948</v>
      </c>
      <c r="BR60" s="5">
        <v>41.948999999999998</v>
      </c>
      <c r="BS60" s="5">
        <v>41.948999999999998</v>
      </c>
      <c r="BT60" s="5">
        <v>41.948999999999998</v>
      </c>
      <c r="BU60" s="5">
        <v>41.948</v>
      </c>
      <c r="BV60" s="5">
        <v>41.95</v>
      </c>
      <c r="BW60" s="5">
        <v>41.95</v>
      </c>
      <c r="BX60" s="5">
        <v>41.953000000000003</v>
      </c>
      <c r="BY60" s="5">
        <v>41.948999999999998</v>
      </c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13"/>
      <c r="HN60" s="14"/>
      <c r="HO60" s="14"/>
      <c r="HP60" s="14"/>
      <c r="HQ60" s="14"/>
      <c r="HR60" s="14"/>
      <c r="HS60" s="14"/>
      <c r="HT60" s="14"/>
      <c r="HU60" s="14"/>
      <c r="HV60" s="14"/>
      <c r="HW60" s="14"/>
      <c r="HX60" s="11"/>
      <c r="HY60" s="11"/>
      <c r="HZ60" s="11"/>
      <c r="IA60" s="11"/>
      <c r="IB60" s="11"/>
      <c r="IC60" s="11"/>
      <c r="ID60" s="11"/>
      <c r="IE60" s="11"/>
      <c r="IF60" s="11"/>
      <c r="IG60" s="11"/>
      <c r="IH60" s="14">
        <v>41.951000000000001</v>
      </c>
      <c r="II60" s="14">
        <v>41.945</v>
      </c>
      <c r="IJ60" s="14">
        <v>41.959000000000003</v>
      </c>
      <c r="IK60" s="14">
        <v>41.95</v>
      </c>
      <c r="IL60" s="14">
        <v>41.953000000000003</v>
      </c>
      <c r="IM60" s="14"/>
      <c r="IN60" s="14"/>
      <c r="IO60" s="14"/>
      <c r="IP60" s="14"/>
      <c r="IQ60" s="14"/>
      <c r="IR60" s="14">
        <v>41.948999999999998</v>
      </c>
      <c r="IS60" s="14">
        <v>41.95</v>
      </c>
      <c r="IT60" s="14">
        <v>41.951999999999998</v>
      </c>
      <c r="IU60" s="14">
        <v>41.948999999999998</v>
      </c>
      <c r="IV60" s="14">
        <v>41.95</v>
      </c>
      <c r="IW60" s="14"/>
      <c r="IX60" s="14"/>
      <c r="IY60" s="14"/>
      <c r="IZ60" s="14"/>
      <c r="JA60" s="14"/>
      <c r="JB60" s="14">
        <v>41.960999999999999</v>
      </c>
      <c r="JC60" s="14">
        <v>41.963000000000001</v>
      </c>
      <c r="JD60" s="14">
        <v>41.962000000000003</v>
      </c>
      <c r="JE60" s="14">
        <v>41.96</v>
      </c>
      <c r="JF60" s="14">
        <v>41.962000000000003</v>
      </c>
      <c r="JG60" s="14"/>
      <c r="JH60" s="14"/>
      <c r="JI60" s="14"/>
      <c r="JJ60" s="14"/>
      <c r="JK60" s="14"/>
      <c r="JL60" s="14">
        <v>41.957999999999998</v>
      </c>
      <c r="JM60" s="14">
        <v>41.959000000000003</v>
      </c>
      <c r="JN60" s="14">
        <v>41.962000000000003</v>
      </c>
      <c r="JO60" s="14">
        <v>41.96</v>
      </c>
      <c r="JP60" s="14">
        <v>41.960999999999999</v>
      </c>
      <c r="JQ60" s="14">
        <v>41.953000000000003</v>
      </c>
      <c r="JR60" s="14">
        <v>41.957999999999998</v>
      </c>
      <c r="JS60" s="14">
        <v>41.954999999999998</v>
      </c>
      <c r="JT60" s="14">
        <v>41.96</v>
      </c>
      <c r="JU60" s="14">
        <v>41.954000000000001</v>
      </c>
      <c r="JV60" s="14">
        <v>41.951999999999998</v>
      </c>
      <c r="JW60" s="14">
        <v>41.954000000000001</v>
      </c>
      <c r="JX60" s="14">
        <v>41.956000000000003</v>
      </c>
      <c r="JY60" s="14">
        <v>41.951999999999998</v>
      </c>
      <c r="JZ60" s="14">
        <v>41.954999999999998</v>
      </c>
      <c r="KA60" s="14">
        <v>41.954999999999998</v>
      </c>
      <c r="KB60" s="14">
        <v>41.951999999999998</v>
      </c>
      <c r="KC60" s="14">
        <v>41.953000000000003</v>
      </c>
      <c r="KD60" s="14">
        <v>41.951999999999998</v>
      </c>
      <c r="KE60" s="14">
        <v>41.95</v>
      </c>
      <c r="KF60" s="14">
        <v>41.956000000000003</v>
      </c>
      <c r="KG60" s="14">
        <v>41.96</v>
      </c>
      <c r="KH60" s="14">
        <v>41.957999999999998</v>
      </c>
      <c r="KI60" s="14">
        <v>41.951999999999998</v>
      </c>
      <c r="KJ60" s="14">
        <v>41.963000000000001</v>
      </c>
      <c r="KK60" s="14">
        <v>41.962000000000003</v>
      </c>
      <c r="KL60" s="14">
        <v>41.959000000000003</v>
      </c>
      <c r="KM60" s="14">
        <v>41.957999999999998</v>
      </c>
      <c r="KN60" s="14">
        <v>41.963000000000001</v>
      </c>
      <c r="KO60" s="14">
        <v>41.96</v>
      </c>
      <c r="KP60" s="14"/>
      <c r="KQ60" s="14"/>
      <c r="KR60" s="14"/>
      <c r="KS60" s="14"/>
      <c r="KT60" s="14"/>
      <c r="KU60" s="14"/>
      <c r="KV60" s="14"/>
      <c r="KW60" s="14"/>
      <c r="KX60" s="14"/>
      <c r="KY60" s="14"/>
      <c r="KZ60" s="14"/>
      <c r="LA60" s="14"/>
      <c r="LB60" s="14"/>
      <c r="LC60" s="14"/>
      <c r="LD60" s="14"/>
      <c r="LE60" s="14"/>
      <c r="LF60" s="14"/>
      <c r="LG60" s="14"/>
      <c r="LH60" s="14"/>
      <c r="LI60" s="14"/>
      <c r="LJ60" s="12">
        <f t="shared" ref="LJ60:LJ76" si="15">COUNT(H62:CD62)</f>
        <v>30</v>
      </c>
      <c r="LK60" s="6">
        <f t="shared" ref="LK60:LK76" si="16">AVERAGE(H62:CD62)</f>
        <v>29.95999999999999</v>
      </c>
      <c r="LL60" s="2">
        <f t="shared" ref="LL60:LL76" si="17">STDEVA(H62:CD62)</f>
        <v>4.0768480049142254E-3</v>
      </c>
      <c r="LM60" s="7">
        <f t="shared" ref="LM60:LM76" si="18">(E62-F62)/(6*LL60)</f>
        <v>0.61321883891344475</v>
      </c>
      <c r="LN60" s="7">
        <f t="shared" ref="LN60:LN76" si="19">(E62-LK60)/(3*LL60)</f>
        <v>0.81762511855193742</v>
      </c>
      <c r="LO60" s="7">
        <f t="shared" ref="LO60:LO76" si="20">(LK60-F62)/(3*LL60)</f>
        <v>0.40881255927495203</v>
      </c>
      <c r="LP60" s="7">
        <f>MIN(LN60:LO60)</f>
        <v>0.40881255927495203</v>
      </c>
    </row>
    <row r="61" spans="1:328" ht="30" customHeight="1">
      <c r="A61" s="2" t="s">
        <v>48</v>
      </c>
      <c r="B61" s="2" t="s">
        <v>75</v>
      </c>
      <c r="C61" s="2"/>
      <c r="D61" s="2" t="s">
        <v>52</v>
      </c>
      <c r="E61" s="10"/>
      <c r="F61" s="10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>
        <v>19.946999999999999</v>
      </c>
      <c r="BB61" s="5">
        <v>19.951000000000001</v>
      </c>
      <c r="BC61" s="5">
        <v>19.943999999999999</v>
      </c>
      <c r="BD61" s="5">
        <v>19.949000000000002</v>
      </c>
      <c r="BE61" s="5">
        <v>19.945</v>
      </c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13"/>
      <c r="HN61" s="14"/>
      <c r="HO61" s="14"/>
      <c r="HP61" s="14"/>
      <c r="HQ61" s="14"/>
      <c r="HR61" s="14"/>
      <c r="HS61" s="14"/>
      <c r="HT61" s="14"/>
      <c r="HU61" s="14"/>
      <c r="HV61" s="14"/>
      <c r="HW61" s="14"/>
      <c r="HX61" s="11"/>
      <c r="HY61" s="11"/>
      <c r="HZ61" s="11"/>
      <c r="IA61" s="11"/>
      <c r="IB61" s="11"/>
      <c r="IC61" s="11"/>
      <c r="ID61" s="11"/>
      <c r="IE61" s="11"/>
      <c r="IF61" s="11"/>
      <c r="IG61" s="11"/>
      <c r="IH61" s="14"/>
      <c r="II61" s="14"/>
      <c r="IJ61" s="14"/>
      <c r="IK61" s="14"/>
      <c r="IL61" s="14"/>
      <c r="IM61" s="14"/>
      <c r="IN61" s="14"/>
      <c r="IO61" s="14"/>
      <c r="IP61" s="14"/>
      <c r="IQ61" s="14"/>
      <c r="IR61" s="14"/>
      <c r="IS61" s="14"/>
      <c r="IT61" s="14"/>
      <c r="IU61" s="14"/>
      <c r="IV61" s="14"/>
      <c r="IW61" s="14"/>
      <c r="IX61" s="14"/>
      <c r="IY61" s="14"/>
      <c r="IZ61" s="14"/>
      <c r="JA61" s="14"/>
      <c r="JB61" s="14"/>
      <c r="JC61" s="14"/>
      <c r="JD61" s="14"/>
      <c r="JE61" s="14"/>
      <c r="JF61" s="14"/>
      <c r="JG61" s="14"/>
      <c r="JH61" s="14"/>
      <c r="JI61" s="14"/>
      <c r="JJ61" s="14"/>
      <c r="JK61" s="14"/>
      <c r="JL61" s="14"/>
      <c r="JM61" s="14"/>
      <c r="JN61" s="14"/>
      <c r="JO61" s="14"/>
      <c r="JP61" s="14"/>
      <c r="JQ61" s="14"/>
      <c r="JR61" s="14"/>
      <c r="JS61" s="14"/>
      <c r="JT61" s="14"/>
      <c r="JU61" s="14"/>
      <c r="JV61" s="14"/>
      <c r="JW61" s="14"/>
      <c r="JX61" s="14"/>
      <c r="JY61" s="14"/>
      <c r="JZ61" s="14"/>
      <c r="KA61" s="14"/>
      <c r="KB61" s="14"/>
      <c r="KC61" s="14"/>
      <c r="KD61" s="14"/>
      <c r="KE61" s="14"/>
      <c r="KF61" s="14"/>
      <c r="KG61" s="14"/>
      <c r="KH61" s="14"/>
      <c r="KI61" s="14"/>
      <c r="KJ61" s="14"/>
      <c r="KK61" s="14"/>
      <c r="KL61" s="14"/>
      <c r="KM61" s="14"/>
      <c r="KN61" s="14"/>
      <c r="KO61" s="14"/>
      <c r="KP61" s="14"/>
      <c r="KQ61" s="14"/>
      <c r="KR61" s="14"/>
      <c r="KS61" s="14"/>
      <c r="KT61" s="14"/>
      <c r="KU61" s="14"/>
      <c r="KV61" s="14"/>
      <c r="KW61" s="14"/>
      <c r="KX61" s="14"/>
      <c r="KY61" s="14"/>
      <c r="KZ61" s="14"/>
      <c r="LA61" s="14"/>
      <c r="LB61" s="14"/>
      <c r="LC61" s="14"/>
      <c r="LD61" s="14"/>
      <c r="LE61" s="14"/>
      <c r="LF61" s="14"/>
      <c r="LG61" s="14"/>
      <c r="LH61" s="14"/>
      <c r="LI61" s="14"/>
      <c r="LJ61" s="12">
        <f t="shared" si="15"/>
        <v>0</v>
      </c>
      <c r="LK61" s="6" t="e">
        <f t="shared" si="16"/>
        <v>#DIV/0!</v>
      </c>
      <c r="LL61" s="2" t="e">
        <f t="shared" si="17"/>
        <v>#DIV/0!</v>
      </c>
      <c r="LM61" s="7" t="e">
        <f t="shared" si="18"/>
        <v>#DIV/0!</v>
      </c>
      <c r="LN61" s="7" t="e">
        <f t="shared" si="19"/>
        <v>#DIV/0!</v>
      </c>
      <c r="LO61" s="7" t="e">
        <f t="shared" si="20"/>
        <v>#DIV/0!</v>
      </c>
      <c r="LP61" s="7" t="e">
        <f>MIN(LN61:LO61)</f>
        <v>#DIV/0!</v>
      </c>
    </row>
    <row r="62" spans="1:328" ht="30" customHeight="1">
      <c r="A62" s="2" t="s">
        <v>48</v>
      </c>
      <c r="B62" s="2" t="s">
        <v>76</v>
      </c>
      <c r="C62" s="2" t="s">
        <v>77</v>
      </c>
      <c r="D62" s="2" t="s">
        <v>52</v>
      </c>
      <c r="E62" s="5">
        <v>29.97</v>
      </c>
      <c r="F62" s="5">
        <v>29.954999999999998</v>
      </c>
      <c r="G62" s="5">
        <f t="shared" si="1"/>
        <v>29.962499999999999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29.959</v>
      </c>
      <c r="AH62" s="5">
        <v>29.96</v>
      </c>
      <c r="AI62" s="5">
        <v>29.96</v>
      </c>
      <c r="AJ62" s="5">
        <v>29.960999999999999</v>
      </c>
      <c r="AK62" s="5">
        <v>29.960999999999999</v>
      </c>
      <c r="AL62" s="5">
        <v>29.965</v>
      </c>
      <c r="AM62" s="5">
        <v>29.968</v>
      </c>
      <c r="AN62" s="5">
        <v>29.966000000000001</v>
      </c>
      <c r="AO62" s="5">
        <v>29.965</v>
      </c>
      <c r="AP62" s="5">
        <v>29.968</v>
      </c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>
        <v>29.959</v>
      </c>
      <c r="BL62" s="5">
        <v>29.962</v>
      </c>
      <c r="BM62" s="5">
        <v>29.966999999999999</v>
      </c>
      <c r="BN62" s="5">
        <v>29.960999999999999</v>
      </c>
      <c r="BO62" s="5">
        <v>29.963000000000001</v>
      </c>
      <c r="BP62" s="5">
        <v>29.954999999999998</v>
      </c>
      <c r="BQ62" s="5">
        <v>29.957000000000001</v>
      </c>
      <c r="BR62" s="5">
        <v>29.957999999999998</v>
      </c>
      <c r="BS62" s="5">
        <v>29.956</v>
      </c>
      <c r="BT62" s="5">
        <v>29.954000000000001</v>
      </c>
      <c r="BU62" s="5">
        <v>29.956</v>
      </c>
      <c r="BV62" s="5">
        <v>29.959</v>
      </c>
      <c r="BW62" s="5">
        <v>29.952999999999999</v>
      </c>
      <c r="BX62" s="5">
        <v>29.956</v>
      </c>
      <c r="BY62" s="5">
        <v>29.960999999999999</v>
      </c>
      <c r="BZ62" s="5">
        <v>29.959</v>
      </c>
      <c r="CA62" s="5">
        <v>29.957000000000001</v>
      </c>
      <c r="CB62" s="5">
        <v>29.956</v>
      </c>
      <c r="CC62" s="5">
        <v>29.959</v>
      </c>
      <c r="CD62" s="5">
        <v>29.959</v>
      </c>
      <c r="CE62" s="5">
        <v>29.957000000000001</v>
      </c>
      <c r="CF62" s="5">
        <v>29.959</v>
      </c>
      <c r="CG62" s="5">
        <v>29.957999999999998</v>
      </c>
      <c r="CH62" s="5">
        <v>29.959</v>
      </c>
      <c r="CI62" s="5">
        <v>29.957000000000001</v>
      </c>
      <c r="CJ62" s="5">
        <v>29.956</v>
      </c>
      <c r="CK62" s="5">
        <v>29.959</v>
      </c>
      <c r="CL62" s="5">
        <v>29.957999999999998</v>
      </c>
      <c r="CM62" s="5">
        <v>29.957000000000001</v>
      </c>
      <c r="CN62" s="5">
        <v>29.956</v>
      </c>
      <c r="CO62" s="5"/>
      <c r="CP62" s="5"/>
      <c r="CQ62" s="5"/>
      <c r="CR62" s="5"/>
      <c r="CS62" s="5"/>
      <c r="CT62" s="5">
        <v>29.954000000000001</v>
      </c>
      <c r="CU62" s="5">
        <v>29.951000000000001</v>
      </c>
      <c r="CV62" s="5">
        <v>29.954000000000001</v>
      </c>
      <c r="CW62" s="5">
        <v>29.957000000000001</v>
      </c>
      <c r="CX62" s="5">
        <v>29.959</v>
      </c>
      <c r="CY62" s="5">
        <v>29.956</v>
      </c>
      <c r="CZ62" s="5">
        <v>29.954999999999998</v>
      </c>
      <c r="DA62" s="5">
        <v>29.957999999999998</v>
      </c>
      <c r="DB62" s="5">
        <v>29.956</v>
      </c>
      <c r="DC62" s="5">
        <v>29.954999999999998</v>
      </c>
      <c r="DD62" s="5">
        <v>29.954999999999998</v>
      </c>
      <c r="DE62" s="5">
        <v>29.951000000000001</v>
      </c>
      <c r="DF62" s="5">
        <v>29.952999999999999</v>
      </c>
      <c r="DG62" s="5">
        <v>29.954000000000001</v>
      </c>
      <c r="DH62" s="5">
        <v>29.957999999999998</v>
      </c>
      <c r="DI62" s="5">
        <v>29.954000000000001</v>
      </c>
      <c r="DJ62" s="5">
        <v>29.954000000000001</v>
      </c>
      <c r="DK62" s="5">
        <v>29.956</v>
      </c>
      <c r="DL62" s="5">
        <v>29.957999999999998</v>
      </c>
      <c r="DM62" s="5">
        <v>29.954000000000001</v>
      </c>
      <c r="DN62" s="5">
        <v>29.957000000000001</v>
      </c>
      <c r="DO62" s="5">
        <v>29.960999999999999</v>
      </c>
      <c r="DP62" s="5">
        <v>29.963000000000001</v>
      </c>
      <c r="DQ62" s="5">
        <v>29.960999999999999</v>
      </c>
      <c r="DR62" s="5">
        <v>29.965</v>
      </c>
      <c r="DS62" s="5">
        <v>29.957000000000001</v>
      </c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>
        <v>29.954000000000001</v>
      </c>
      <c r="HI62" s="5">
        <v>29.952999999999999</v>
      </c>
      <c r="HJ62" s="5">
        <v>29.956</v>
      </c>
      <c r="HK62" s="5">
        <v>29.957000000000001</v>
      </c>
      <c r="HL62" s="5">
        <v>29.957000000000001</v>
      </c>
      <c r="HM62" s="13">
        <v>29.956</v>
      </c>
      <c r="HN62" s="14">
        <v>29.954999999999998</v>
      </c>
      <c r="HO62" s="14">
        <v>29.957000000000001</v>
      </c>
      <c r="HP62" s="14">
        <v>29.954000000000001</v>
      </c>
      <c r="HQ62" s="14"/>
      <c r="HR62" s="14"/>
      <c r="HS62" s="14"/>
      <c r="HT62" s="14"/>
      <c r="HU62" s="14"/>
      <c r="HV62" s="14"/>
      <c r="HW62" s="14"/>
      <c r="HX62" s="11"/>
      <c r="HY62" s="11"/>
      <c r="HZ62" s="11"/>
      <c r="IA62" s="11"/>
      <c r="IB62" s="11"/>
      <c r="IC62" s="11"/>
      <c r="ID62" s="11"/>
      <c r="IE62" s="11"/>
      <c r="IF62" s="11"/>
      <c r="IG62" s="11"/>
      <c r="IH62" s="14">
        <v>29.957999999999998</v>
      </c>
      <c r="II62" s="14">
        <v>29.954999999999998</v>
      </c>
      <c r="IJ62" s="14">
        <v>29.959</v>
      </c>
      <c r="IK62" s="14">
        <v>29.960999999999999</v>
      </c>
      <c r="IL62" s="14">
        <v>29.957000000000001</v>
      </c>
      <c r="IM62" s="14"/>
      <c r="IN62" s="14"/>
      <c r="IO62" s="14"/>
      <c r="IP62" s="14"/>
      <c r="IQ62" s="14"/>
      <c r="IR62" s="14">
        <v>29.952999999999999</v>
      </c>
      <c r="IS62" s="14">
        <v>29.954999999999998</v>
      </c>
      <c r="IT62" s="14">
        <v>29.956</v>
      </c>
      <c r="IU62" s="14">
        <v>29.954999999999998</v>
      </c>
      <c r="IV62" s="14">
        <v>29.952999999999999</v>
      </c>
      <c r="IW62" s="14">
        <v>29.952000000000002</v>
      </c>
      <c r="IX62" s="14">
        <v>29.952999999999999</v>
      </c>
      <c r="IY62" s="14">
        <v>29.951000000000001</v>
      </c>
      <c r="IZ62" s="14">
        <v>29.954000000000001</v>
      </c>
      <c r="JA62" s="14">
        <v>29.952000000000002</v>
      </c>
      <c r="JB62" s="14">
        <v>29.954999999999998</v>
      </c>
      <c r="JC62" s="14">
        <v>29.954000000000001</v>
      </c>
      <c r="JD62" s="14">
        <v>29.956</v>
      </c>
      <c r="JE62" s="14">
        <v>29.954999999999998</v>
      </c>
      <c r="JF62" s="14">
        <v>29.957000000000001</v>
      </c>
      <c r="JG62" s="14">
        <v>29.954999999999998</v>
      </c>
      <c r="JH62" s="14">
        <v>29.954000000000001</v>
      </c>
      <c r="JI62" s="14">
        <v>29.951000000000001</v>
      </c>
      <c r="JJ62" s="14">
        <v>29.956</v>
      </c>
      <c r="JK62" s="14">
        <v>29.951000000000001</v>
      </c>
      <c r="JL62" s="14">
        <v>29.963000000000001</v>
      </c>
      <c r="JM62" s="14">
        <v>29.96</v>
      </c>
      <c r="JN62" s="14">
        <v>29.962</v>
      </c>
      <c r="JO62" s="14">
        <v>29.963999999999999</v>
      </c>
      <c r="JP62" s="14">
        <v>29.960999999999999</v>
      </c>
      <c r="JQ62" s="14">
        <v>29.954999999999998</v>
      </c>
      <c r="JR62" s="14">
        <v>29.957000000000001</v>
      </c>
      <c r="JS62" s="14">
        <v>29.954999999999998</v>
      </c>
      <c r="JT62" s="14">
        <v>29.959</v>
      </c>
      <c r="JU62" s="14">
        <v>29.956</v>
      </c>
      <c r="JV62" s="14">
        <v>29.954000000000001</v>
      </c>
      <c r="JW62" s="14">
        <v>29.956</v>
      </c>
      <c r="JX62" s="14">
        <v>29.954999999999998</v>
      </c>
      <c r="JY62" s="14">
        <v>29.957999999999998</v>
      </c>
      <c r="JZ62" s="14">
        <v>29.956</v>
      </c>
      <c r="KA62" s="14">
        <v>29.954999999999998</v>
      </c>
      <c r="KB62" s="14">
        <v>293.95800000000003</v>
      </c>
      <c r="KC62" s="14">
        <v>29.956</v>
      </c>
      <c r="KD62" s="14">
        <v>29.957999999999998</v>
      </c>
      <c r="KE62" s="14">
        <v>29.957000000000001</v>
      </c>
      <c r="KF62" s="14">
        <v>29.965</v>
      </c>
      <c r="KG62" s="14">
        <v>29.97</v>
      </c>
      <c r="KH62" s="14">
        <v>29.972999999999999</v>
      </c>
      <c r="KI62" s="14">
        <v>29.96</v>
      </c>
      <c r="KJ62" s="14">
        <v>29.957999999999998</v>
      </c>
      <c r="KK62" s="14">
        <v>29.97</v>
      </c>
      <c r="KL62" s="14">
        <v>29.972999999999999</v>
      </c>
      <c r="KM62" s="14">
        <v>29.969000000000001</v>
      </c>
      <c r="KN62" s="14">
        <v>29.968</v>
      </c>
      <c r="KO62" s="14">
        <v>29.97</v>
      </c>
      <c r="KP62" s="14"/>
      <c r="KQ62" s="14"/>
      <c r="KR62" s="14"/>
      <c r="KS62" s="14"/>
      <c r="KT62" s="14"/>
      <c r="KU62" s="14"/>
      <c r="KV62" s="14"/>
      <c r="KW62" s="14"/>
      <c r="KX62" s="14"/>
      <c r="KY62" s="14"/>
      <c r="KZ62" s="14"/>
      <c r="LA62" s="14"/>
      <c r="LB62" s="14"/>
      <c r="LC62" s="14"/>
      <c r="LD62" s="14"/>
      <c r="LE62" s="14"/>
      <c r="LF62" s="14"/>
      <c r="LG62" s="14"/>
      <c r="LH62" s="14"/>
      <c r="LI62" s="14"/>
      <c r="LJ62" s="12">
        <f t="shared" si="15"/>
        <v>5</v>
      </c>
      <c r="LK62" s="6">
        <f t="shared" si="16"/>
        <v>74.978800000000007</v>
      </c>
      <c r="LL62" s="2">
        <f t="shared" si="17"/>
        <v>4.816637831517789E-3</v>
      </c>
      <c r="LM62" s="7">
        <f t="shared" si="18"/>
        <v>2.0761369963432026</v>
      </c>
      <c r="LN62" s="7">
        <f t="shared" si="19"/>
        <v>2.159182476196734</v>
      </c>
      <c r="LO62" s="7">
        <f t="shared" si="20"/>
        <v>1.9930915164896712</v>
      </c>
      <c r="LP62" s="7">
        <f t="shared" si="0"/>
        <v>1.9930915164896712</v>
      </c>
    </row>
    <row r="63" spans="1:328" ht="30" customHeight="1">
      <c r="A63" s="2" t="s">
        <v>48</v>
      </c>
      <c r="B63" s="2" t="s">
        <v>76</v>
      </c>
      <c r="C63" s="2" t="s">
        <v>78</v>
      </c>
      <c r="D63" s="2" t="s">
        <v>33</v>
      </c>
      <c r="E63" s="5">
        <v>36.473999999999997</v>
      </c>
      <c r="F63" s="5">
        <v>36.448999999999998</v>
      </c>
      <c r="G63" s="5">
        <f t="shared" si="1"/>
        <v>36.461500000000001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>
        <v>36.463999999999999</v>
      </c>
      <c r="CU63" s="5">
        <v>36.460999999999999</v>
      </c>
      <c r="CV63" s="5">
        <v>36.462000000000003</v>
      </c>
      <c r="CW63" s="5">
        <v>36.463000000000001</v>
      </c>
      <c r="CX63" s="5">
        <v>36.460999999999999</v>
      </c>
      <c r="CY63" s="5">
        <v>36.465000000000003</v>
      </c>
      <c r="CZ63" s="5">
        <v>36.463999999999999</v>
      </c>
      <c r="DA63" s="5">
        <v>36.463000000000001</v>
      </c>
      <c r="DB63" s="5">
        <v>36.462000000000003</v>
      </c>
      <c r="DC63" s="5">
        <v>36.465000000000003</v>
      </c>
      <c r="DD63" s="5">
        <v>36.466999999999999</v>
      </c>
      <c r="DE63" s="5">
        <v>36.466000000000001</v>
      </c>
      <c r="DF63" s="5">
        <v>36.466999999999999</v>
      </c>
      <c r="DG63" s="5">
        <v>36.466000000000001</v>
      </c>
      <c r="DH63" s="5">
        <v>36.465000000000003</v>
      </c>
      <c r="DI63" s="5"/>
      <c r="DJ63" s="5"/>
      <c r="DK63" s="5"/>
      <c r="DL63" s="5"/>
      <c r="DM63" s="5"/>
      <c r="DN63" s="5">
        <v>36.454999999999998</v>
      </c>
      <c r="DO63" s="5">
        <v>26.46</v>
      </c>
      <c r="DP63" s="5">
        <v>36.468000000000004</v>
      </c>
      <c r="DQ63" s="5">
        <v>36.457000000000001</v>
      </c>
      <c r="DR63" s="5">
        <v>36.451000000000001</v>
      </c>
      <c r="DS63" s="5">
        <v>36.472000000000001</v>
      </c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>
        <v>36.473999999999997</v>
      </c>
      <c r="HI63" s="5">
        <v>36.469000000000001</v>
      </c>
      <c r="HJ63" s="5">
        <v>26.47</v>
      </c>
      <c r="HK63" s="5">
        <v>36.470999999999997</v>
      </c>
      <c r="HL63" s="5">
        <v>36.459000000000003</v>
      </c>
      <c r="HM63" s="13">
        <v>36.462000000000003</v>
      </c>
      <c r="HN63" s="14">
        <v>36.463999999999999</v>
      </c>
      <c r="HO63" s="14">
        <v>36.463000000000001</v>
      </c>
      <c r="HP63" s="14">
        <v>36.460999999999999</v>
      </c>
      <c r="HQ63" s="14"/>
      <c r="HR63" s="14"/>
      <c r="HS63" s="14"/>
      <c r="HT63" s="14"/>
      <c r="HU63" s="14"/>
      <c r="HV63" s="14"/>
      <c r="HW63" s="14"/>
      <c r="HX63" s="11"/>
      <c r="HY63" s="11"/>
      <c r="HZ63" s="11"/>
      <c r="IA63" s="11"/>
      <c r="IB63" s="11"/>
      <c r="IC63" s="11"/>
      <c r="ID63" s="11"/>
      <c r="IE63" s="11"/>
      <c r="IF63" s="11"/>
      <c r="IG63" s="11"/>
      <c r="IH63" s="14">
        <v>36.462000000000003</v>
      </c>
      <c r="II63" s="14">
        <v>36.460999999999999</v>
      </c>
      <c r="IJ63" s="14">
        <v>36.453000000000003</v>
      </c>
      <c r="IK63" s="14">
        <v>36.462000000000003</v>
      </c>
      <c r="IL63" s="14">
        <v>36.470999999999997</v>
      </c>
      <c r="IM63" s="14"/>
      <c r="IN63" s="14"/>
      <c r="IO63" s="14"/>
      <c r="IP63" s="14"/>
      <c r="IQ63" s="14"/>
      <c r="IR63" s="14">
        <v>36.463000000000001</v>
      </c>
      <c r="IS63" s="14">
        <v>36.451999999999998</v>
      </c>
      <c r="IT63" s="14">
        <v>36.459000000000003</v>
      </c>
      <c r="IU63" s="14">
        <v>36.465000000000003</v>
      </c>
      <c r="IV63" s="14">
        <v>36.472000000000001</v>
      </c>
      <c r="IW63" s="14">
        <v>36.459000000000003</v>
      </c>
      <c r="IX63" s="14">
        <v>36.462000000000003</v>
      </c>
      <c r="IY63" s="14">
        <v>36.46</v>
      </c>
      <c r="IZ63" s="14">
        <v>36.459000000000003</v>
      </c>
      <c r="JA63" s="14">
        <v>36.460999999999999</v>
      </c>
      <c r="JB63" s="14">
        <v>36.46</v>
      </c>
      <c r="JC63" s="14">
        <v>36.465000000000003</v>
      </c>
      <c r="JD63" s="14">
        <v>36.643000000000001</v>
      </c>
      <c r="JE63" s="14">
        <v>36.462000000000003</v>
      </c>
      <c r="JF63" s="14">
        <v>36.463000000000001</v>
      </c>
      <c r="JG63" s="14">
        <v>36.460999999999999</v>
      </c>
      <c r="JH63" s="14">
        <v>36.463999999999999</v>
      </c>
      <c r="JI63" s="14">
        <v>36.426000000000002</v>
      </c>
      <c r="JJ63" s="14">
        <v>36.463000000000001</v>
      </c>
      <c r="JK63" s="14">
        <v>36.460999999999999</v>
      </c>
      <c r="JL63" s="14">
        <v>36.469000000000001</v>
      </c>
      <c r="JM63" s="14">
        <v>36.472999999999999</v>
      </c>
      <c r="JN63" s="14">
        <v>36.47</v>
      </c>
      <c r="JO63" s="14">
        <v>36.472000000000001</v>
      </c>
      <c r="JP63" s="14">
        <v>34.470999999999997</v>
      </c>
      <c r="JQ63" s="14">
        <v>36.451000000000001</v>
      </c>
      <c r="JR63" s="14">
        <v>36.457000000000001</v>
      </c>
      <c r="JS63" s="14">
        <v>36.450000000000003</v>
      </c>
      <c r="JT63" s="14">
        <v>36.454999999999998</v>
      </c>
      <c r="JU63" s="14">
        <v>36.453000000000003</v>
      </c>
      <c r="JV63" s="14">
        <v>36.466000000000001</v>
      </c>
      <c r="JW63" s="14">
        <v>36.465000000000003</v>
      </c>
      <c r="JX63" s="14">
        <v>36.463000000000001</v>
      </c>
      <c r="JY63" s="14">
        <v>36.462000000000003</v>
      </c>
      <c r="JZ63" s="14">
        <v>36.463999999999999</v>
      </c>
      <c r="KA63" s="14">
        <v>36.468000000000004</v>
      </c>
      <c r="KB63" s="14">
        <v>36.466999999999999</v>
      </c>
      <c r="KC63" s="14">
        <v>36.469000000000001</v>
      </c>
      <c r="KD63" s="14">
        <v>63.468000000000004</v>
      </c>
      <c r="KE63" s="14">
        <v>36.469000000000001</v>
      </c>
      <c r="KF63" s="14">
        <v>36.465000000000003</v>
      </c>
      <c r="KG63" s="14">
        <v>36.465000000000003</v>
      </c>
      <c r="KH63" s="14">
        <v>36.469000000000001</v>
      </c>
      <c r="KI63" s="14">
        <v>36.457999999999998</v>
      </c>
      <c r="KJ63" s="14">
        <v>36.457000000000001</v>
      </c>
      <c r="KK63" s="14">
        <v>36.469000000000001</v>
      </c>
      <c r="KL63" s="14">
        <v>36.466999999999999</v>
      </c>
      <c r="KM63" s="14">
        <v>36.465000000000003</v>
      </c>
      <c r="KN63" s="14">
        <v>36.457999999999998</v>
      </c>
      <c r="KO63" s="14">
        <v>36.46</v>
      </c>
      <c r="KP63" s="14"/>
      <c r="KQ63" s="14"/>
      <c r="KR63" s="14"/>
      <c r="KS63" s="14"/>
      <c r="KT63" s="14"/>
      <c r="KU63" s="14"/>
      <c r="KV63" s="14"/>
      <c r="KW63" s="14"/>
      <c r="KX63" s="14"/>
      <c r="KY63" s="14"/>
      <c r="KZ63" s="14"/>
      <c r="LA63" s="14"/>
      <c r="LB63" s="14"/>
      <c r="LC63" s="14"/>
      <c r="LD63" s="14"/>
      <c r="LE63" s="14"/>
      <c r="LF63" s="14"/>
      <c r="LG63" s="14"/>
      <c r="LH63" s="14"/>
      <c r="LI63" s="14"/>
      <c r="LJ63" s="12">
        <f t="shared" si="15"/>
        <v>5</v>
      </c>
      <c r="LK63" s="6">
        <f t="shared" si="16"/>
        <v>77.006799999999998</v>
      </c>
      <c r="LL63" s="2">
        <f t="shared" si="17"/>
        <v>3.2710854467592042E-3</v>
      </c>
      <c r="LM63" s="7">
        <f t="shared" si="18"/>
        <v>1.0190297341927088</v>
      </c>
      <c r="LN63" s="7">
        <f t="shared" si="19"/>
        <v>1.3451192491344046</v>
      </c>
      <c r="LO63" s="7">
        <f t="shared" si="20"/>
        <v>0.69294021925101301</v>
      </c>
      <c r="LP63" s="7">
        <f t="shared" si="0"/>
        <v>0.69294021925101301</v>
      </c>
    </row>
    <row r="64" spans="1:328" ht="30" customHeight="1">
      <c r="A64" s="2" t="s">
        <v>79</v>
      </c>
      <c r="B64" s="2" t="s">
        <v>80</v>
      </c>
      <c r="C64" s="2"/>
      <c r="D64" s="2" t="s">
        <v>34</v>
      </c>
      <c r="E64" s="5">
        <v>75.010000000000005</v>
      </c>
      <c r="F64" s="5">
        <v>74.95</v>
      </c>
      <c r="G64" s="5">
        <f t="shared" si="1"/>
        <v>74.98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>
        <v>74.978999999999999</v>
      </c>
      <c r="BQ64" s="5">
        <v>74.984999999999999</v>
      </c>
      <c r="BR64" s="5">
        <v>74.977000000000004</v>
      </c>
      <c r="BS64" s="5">
        <v>74.971999999999994</v>
      </c>
      <c r="BT64" s="5">
        <v>74.980999999999995</v>
      </c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>
        <v>74.965999999999994</v>
      </c>
      <c r="CU64" s="5">
        <v>94.962000000000003</v>
      </c>
      <c r="CV64" s="5">
        <v>74.966999999999999</v>
      </c>
      <c r="CW64" s="5">
        <v>74.971000000000004</v>
      </c>
      <c r="CX64" s="5">
        <v>74.963999999999999</v>
      </c>
      <c r="CY64" s="5"/>
      <c r="CZ64" s="5"/>
      <c r="DA64" s="5"/>
      <c r="DB64" s="5"/>
      <c r="DC64" s="5"/>
      <c r="DD64" s="5">
        <v>74.97</v>
      </c>
      <c r="DE64" s="5">
        <v>74.971999999999994</v>
      </c>
      <c r="DF64" s="5">
        <v>74.968000000000004</v>
      </c>
      <c r="DG64" s="5">
        <v>74.965999999999994</v>
      </c>
      <c r="DH64" s="5">
        <v>74.962999999999994</v>
      </c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13"/>
      <c r="HN64" s="14"/>
      <c r="HO64" s="14"/>
      <c r="HP64" s="14"/>
      <c r="HQ64" s="14"/>
      <c r="HR64" s="14"/>
      <c r="HS64" s="14"/>
      <c r="HT64" s="14"/>
      <c r="HU64" s="14"/>
      <c r="HV64" s="14"/>
      <c r="HW64" s="14"/>
      <c r="HX64" s="11"/>
      <c r="HY64" s="11"/>
      <c r="HZ64" s="11"/>
      <c r="IA64" s="11"/>
      <c r="IB64" s="11"/>
      <c r="IC64" s="11"/>
      <c r="ID64" s="11"/>
      <c r="IE64" s="11"/>
      <c r="IF64" s="11"/>
      <c r="IG64" s="11"/>
      <c r="IH64" s="14"/>
      <c r="II64" s="14"/>
      <c r="IJ64" s="14"/>
      <c r="IK64" s="14"/>
      <c r="IL64" s="14"/>
      <c r="IM64" s="14"/>
      <c r="IN64" s="14"/>
      <c r="IO64" s="14"/>
      <c r="IP64" s="14"/>
      <c r="IQ64" s="14"/>
      <c r="IR64" s="14"/>
      <c r="IS64" s="14"/>
      <c r="IT64" s="14"/>
      <c r="IU64" s="14"/>
      <c r="IV64" s="14"/>
      <c r="IW64" s="14"/>
      <c r="IX64" s="14"/>
      <c r="IY64" s="14"/>
      <c r="IZ64" s="14"/>
      <c r="JA64" s="14"/>
      <c r="JB64" s="14"/>
      <c r="JC64" s="14"/>
      <c r="JD64" s="14"/>
      <c r="JE64" s="14"/>
      <c r="JF64" s="14"/>
      <c r="JG64" s="14"/>
      <c r="JH64" s="14"/>
      <c r="JI64" s="14"/>
      <c r="JJ64" s="14"/>
      <c r="JK64" s="14"/>
      <c r="JL64" s="14"/>
      <c r="JM64" s="14"/>
      <c r="JN64" s="14"/>
      <c r="JO64" s="14"/>
      <c r="JP64" s="14"/>
      <c r="JQ64" s="14"/>
      <c r="JR64" s="14"/>
      <c r="JS64" s="14"/>
      <c r="JT64" s="14"/>
      <c r="JU64" s="14"/>
      <c r="JV64" s="14"/>
      <c r="JW64" s="14"/>
      <c r="JX64" s="14"/>
      <c r="JY64" s="14"/>
      <c r="JZ64" s="14"/>
      <c r="KA64" s="14"/>
      <c r="KB64" s="14"/>
      <c r="KC64" s="14"/>
      <c r="KD64" s="14"/>
      <c r="KE64" s="14"/>
      <c r="KF64" s="14"/>
      <c r="KG64" s="14"/>
      <c r="KH64" s="14"/>
      <c r="KI64" s="14"/>
      <c r="KJ64" s="14"/>
      <c r="KK64" s="14"/>
      <c r="KL64" s="14"/>
      <c r="KM64" s="14"/>
      <c r="KN64" s="14"/>
      <c r="KO64" s="14"/>
      <c r="KP64" s="14"/>
      <c r="KQ64" s="14"/>
      <c r="KR64" s="14"/>
      <c r="KS64" s="14"/>
      <c r="KT64" s="14"/>
      <c r="KU64" s="14"/>
      <c r="KV64" s="14"/>
      <c r="KW64" s="14"/>
      <c r="KX64" s="14"/>
      <c r="KY64" s="14"/>
      <c r="KZ64" s="14"/>
      <c r="LA64" s="14"/>
      <c r="LB64" s="14"/>
      <c r="LC64" s="14"/>
      <c r="LD64" s="14"/>
      <c r="LE64" s="14"/>
      <c r="LF64" s="14"/>
      <c r="LG64" s="14"/>
      <c r="LH64" s="14"/>
      <c r="LI64" s="14"/>
      <c r="LJ64" s="12">
        <f t="shared" si="15"/>
        <v>5</v>
      </c>
      <c r="LK64" s="6">
        <f t="shared" si="16"/>
        <v>81.960999999999999</v>
      </c>
      <c r="LL64" s="2">
        <f t="shared" si="17"/>
        <v>2.0000000000006679E-3</v>
      </c>
      <c r="LM64" s="7">
        <f t="shared" si="18"/>
        <v>0.74999999999977796</v>
      </c>
      <c r="LN64" s="7">
        <f t="shared" si="19"/>
        <v>2.3333333333318529</v>
      </c>
      <c r="LO64" s="7">
        <f t="shared" si="20"/>
        <v>-0.83333333333229709</v>
      </c>
      <c r="LP64" s="7">
        <f t="shared" si="0"/>
        <v>-0.83333333333229709</v>
      </c>
    </row>
    <row r="65" spans="1:328" ht="30" customHeight="1">
      <c r="A65" s="2" t="s">
        <v>79</v>
      </c>
      <c r="B65" s="2" t="s">
        <v>80</v>
      </c>
      <c r="C65" s="2"/>
      <c r="D65" s="2" t="s">
        <v>81</v>
      </c>
      <c r="E65" s="5">
        <v>77.02</v>
      </c>
      <c r="F65" s="5">
        <v>77</v>
      </c>
      <c r="G65" s="5">
        <f t="shared" si="1"/>
        <v>77.009999999999991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>
        <v>77.001999999999995</v>
      </c>
      <c r="BQ65" s="5">
        <v>77.007999999999996</v>
      </c>
      <c r="BR65" s="5">
        <v>77.006</v>
      </c>
      <c r="BS65" s="5">
        <v>77.010999999999996</v>
      </c>
      <c r="BT65" s="5">
        <v>77.007000000000005</v>
      </c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>
        <v>77.001000000000005</v>
      </c>
      <c r="CU65" s="5">
        <v>77.003</v>
      </c>
      <c r="CV65" s="5">
        <v>77.001999999999995</v>
      </c>
      <c r="CW65" s="5">
        <v>77.004999999999995</v>
      </c>
      <c r="CX65" s="5">
        <v>77.007000000000005</v>
      </c>
      <c r="CY65" s="5"/>
      <c r="CZ65" s="5"/>
      <c r="DA65" s="5"/>
      <c r="DB65" s="5"/>
      <c r="DC65" s="5"/>
      <c r="DD65" s="5">
        <v>77.006</v>
      </c>
      <c r="DE65" s="5">
        <v>77.001999999999995</v>
      </c>
      <c r="DF65" s="5">
        <v>77.007999999999996</v>
      </c>
      <c r="DG65" s="5">
        <v>77.003</v>
      </c>
      <c r="DH65" s="5">
        <v>77.004999999999995</v>
      </c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13"/>
      <c r="HN65" s="14"/>
      <c r="HO65" s="14"/>
      <c r="HP65" s="14"/>
      <c r="HQ65" s="14"/>
      <c r="HR65" s="14"/>
      <c r="HS65" s="14"/>
      <c r="HT65" s="14"/>
      <c r="HU65" s="14"/>
      <c r="HV65" s="14"/>
      <c r="HW65" s="14"/>
      <c r="HX65" s="11"/>
      <c r="HY65" s="11"/>
      <c r="HZ65" s="11"/>
      <c r="IA65" s="11"/>
      <c r="IB65" s="11"/>
      <c r="IC65" s="11"/>
      <c r="ID65" s="11"/>
      <c r="IE65" s="11"/>
      <c r="IF65" s="11"/>
      <c r="IG65" s="11"/>
      <c r="IH65" s="14"/>
      <c r="II65" s="14"/>
      <c r="IJ65" s="14"/>
      <c r="IK65" s="14"/>
      <c r="IL65" s="14"/>
      <c r="IM65" s="14"/>
      <c r="IN65" s="14"/>
      <c r="IO65" s="14"/>
      <c r="IP65" s="14"/>
      <c r="IQ65" s="14"/>
      <c r="IR65" s="14"/>
      <c r="IS65" s="14"/>
      <c r="IT65" s="14"/>
      <c r="IU65" s="14"/>
      <c r="IV65" s="14"/>
      <c r="IW65" s="14"/>
      <c r="IX65" s="14"/>
      <c r="IY65" s="14"/>
      <c r="IZ65" s="14"/>
      <c r="JA65" s="14"/>
      <c r="JB65" s="14"/>
      <c r="JC65" s="14"/>
      <c r="JD65" s="14"/>
      <c r="JE65" s="14"/>
      <c r="JF65" s="14"/>
      <c r="JG65" s="14"/>
      <c r="JH65" s="14"/>
      <c r="JI65" s="14"/>
      <c r="JJ65" s="14"/>
      <c r="JK65" s="14"/>
      <c r="JL65" s="14"/>
      <c r="JM65" s="14"/>
      <c r="JN65" s="14"/>
      <c r="JO65" s="14"/>
      <c r="JP65" s="14"/>
      <c r="JQ65" s="14"/>
      <c r="JR65" s="14"/>
      <c r="JS65" s="14"/>
      <c r="JT65" s="14"/>
      <c r="JU65" s="14"/>
      <c r="JV65" s="14"/>
      <c r="JW65" s="14"/>
      <c r="JX65" s="14"/>
      <c r="JY65" s="14"/>
      <c r="JZ65" s="14"/>
      <c r="KA65" s="14"/>
      <c r="KB65" s="14"/>
      <c r="KC65" s="14"/>
      <c r="KD65" s="14"/>
      <c r="KE65" s="14"/>
      <c r="KF65" s="14"/>
      <c r="KG65" s="14"/>
      <c r="KH65" s="14"/>
      <c r="KI65" s="14"/>
      <c r="KJ65" s="14"/>
      <c r="KK65" s="14"/>
      <c r="KL65" s="14"/>
      <c r="KM65" s="14"/>
      <c r="KN65" s="14"/>
      <c r="KO65" s="14"/>
      <c r="KP65" s="14"/>
      <c r="KQ65" s="14"/>
      <c r="KR65" s="14"/>
      <c r="KS65" s="14"/>
      <c r="KT65" s="14"/>
      <c r="KU65" s="14"/>
      <c r="KV65" s="14"/>
      <c r="KW65" s="14"/>
      <c r="KX65" s="14"/>
      <c r="KY65" s="14"/>
      <c r="KZ65" s="14"/>
      <c r="LA65" s="14"/>
      <c r="LB65" s="14"/>
      <c r="LC65" s="14"/>
      <c r="LD65" s="14"/>
      <c r="LE65" s="14"/>
      <c r="LF65" s="14"/>
      <c r="LG65" s="14"/>
      <c r="LH65" s="14"/>
      <c r="LI65" s="14"/>
      <c r="LJ65" s="12">
        <f t="shared" si="15"/>
        <v>5</v>
      </c>
      <c r="LK65" s="6">
        <f t="shared" si="16"/>
        <v>21.994799999999998</v>
      </c>
      <c r="LL65" s="2">
        <f t="shared" si="17"/>
        <v>2.7748873851017441E-3</v>
      </c>
      <c r="LM65" s="7">
        <f t="shared" si="18"/>
        <v>1.8018749253915611</v>
      </c>
      <c r="LN65" s="7">
        <f t="shared" si="19"/>
        <v>3.027149874657908</v>
      </c>
      <c r="LO65" s="7">
        <f t="shared" si="20"/>
        <v>0.57659997612521419</v>
      </c>
      <c r="LP65" s="7">
        <f t="shared" si="0"/>
        <v>0.57659997612521419</v>
      </c>
    </row>
    <row r="66" spans="1:328" ht="30" customHeight="1">
      <c r="A66" s="2" t="s">
        <v>79</v>
      </c>
      <c r="B66" s="2" t="s">
        <v>80</v>
      </c>
      <c r="C66" s="2"/>
      <c r="D66" s="2" t="s">
        <v>82</v>
      </c>
      <c r="E66" s="5">
        <v>81.974999999999994</v>
      </c>
      <c r="F66" s="5">
        <v>81.965999999999994</v>
      </c>
      <c r="G66" s="5">
        <f t="shared" si="1"/>
        <v>81.970499999999987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>
        <v>81.962999999999994</v>
      </c>
      <c r="BQ66" s="5">
        <v>81.962000000000003</v>
      </c>
      <c r="BR66" s="5">
        <v>81.957999999999998</v>
      </c>
      <c r="BS66" s="5">
        <v>81.96</v>
      </c>
      <c r="BT66" s="5">
        <v>81.962000000000003</v>
      </c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>
        <v>81.962999999999994</v>
      </c>
      <c r="CU66" s="5">
        <v>81.966999999999999</v>
      </c>
      <c r="CV66" s="5">
        <v>81.962000000000003</v>
      </c>
      <c r="CW66" s="5">
        <v>81.965999999999994</v>
      </c>
      <c r="CX66" s="5">
        <v>81.963999999999999</v>
      </c>
      <c r="CY66" s="5"/>
      <c r="CZ66" s="5"/>
      <c r="DA66" s="5"/>
      <c r="DB66" s="5"/>
      <c r="DC66" s="5"/>
      <c r="DD66" s="5">
        <v>81.963999999999999</v>
      </c>
      <c r="DE66" s="5">
        <v>81.965999999999994</v>
      </c>
      <c r="DF66" s="5">
        <v>81.960999999999999</v>
      </c>
      <c r="DG66" s="5">
        <v>81.962999999999994</v>
      </c>
      <c r="DH66" s="5">
        <v>81.965000000000003</v>
      </c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13"/>
      <c r="HN66" s="14"/>
      <c r="HO66" s="14"/>
      <c r="HP66" s="14"/>
      <c r="HQ66" s="14"/>
      <c r="HR66" s="14"/>
      <c r="HS66" s="14"/>
      <c r="HT66" s="14"/>
      <c r="HU66" s="14"/>
      <c r="HV66" s="14"/>
      <c r="HW66" s="14"/>
      <c r="HX66" s="11"/>
      <c r="HY66" s="11"/>
      <c r="HZ66" s="11"/>
      <c r="IA66" s="11"/>
      <c r="IB66" s="11"/>
      <c r="IC66" s="11"/>
      <c r="ID66" s="11"/>
      <c r="IE66" s="11"/>
      <c r="IF66" s="11"/>
      <c r="IG66" s="11"/>
      <c r="IH66" s="14"/>
      <c r="II66" s="14"/>
      <c r="IJ66" s="14"/>
      <c r="IK66" s="14"/>
      <c r="IL66" s="14"/>
      <c r="IM66" s="14"/>
      <c r="IN66" s="14"/>
      <c r="IO66" s="14"/>
      <c r="IP66" s="14"/>
      <c r="IQ66" s="14"/>
      <c r="IR66" s="14"/>
      <c r="IS66" s="14"/>
      <c r="IT66" s="14"/>
      <c r="IU66" s="14"/>
      <c r="IV66" s="14"/>
      <c r="IW66" s="14"/>
      <c r="IX66" s="14"/>
      <c r="IY66" s="14"/>
      <c r="IZ66" s="14"/>
      <c r="JA66" s="14"/>
      <c r="JB66" s="14"/>
      <c r="JC66" s="14"/>
      <c r="JD66" s="14"/>
      <c r="JE66" s="14"/>
      <c r="JF66" s="14"/>
      <c r="JG66" s="14"/>
      <c r="JH66" s="14"/>
      <c r="JI66" s="14"/>
      <c r="JJ66" s="14"/>
      <c r="JK66" s="14"/>
      <c r="JL66" s="14"/>
      <c r="JM66" s="14"/>
      <c r="JN66" s="14"/>
      <c r="JO66" s="14"/>
      <c r="JP66" s="14"/>
      <c r="JQ66" s="14"/>
      <c r="JR66" s="14"/>
      <c r="JS66" s="14"/>
      <c r="JT66" s="14"/>
      <c r="JU66" s="14"/>
      <c r="JV66" s="14"/>
      <c r="JW66" s="14"/>
      <c r="JX66" s="14"/>
      <c r="JY66" s="14"/>
      <c r="JZ66" s="14"/>
      <c r="KA66" s="14"/>
      <c r="KB66" s="14"/>
      <c r="KC66" s="14"/>
      <c r="KD66" s="14"/>
      <c r="KE66" s="14"/>
      <c r="KF66" s="14"/>
      <c r="KG66" s="14"/>
      <c r="KH66" s="14"/>
      <c r="KI66" s="14"/>
      <c r="KJ66" s="14"/>
      <c r="KK66" s="14"/>
      <c r="KL66" s="14"/>
      <c r="KM66" s="14"/>
      <c r="KN66" s="14"/>
      <c r="KO66" s="14"/>
      <c r="KP66" s="14"/>
      <c r="KQ66" s="14"/>
      <c r="KR66" s="14"/>
      <c r="KS66" s="14"/>
      <c r="KT66" s="14"/>
      <c r="KU66" s="14"/>
      <c r="KV66" s="14"/>
      <c r="KW66" s="14"/>
      <c r="KX66" s="14"/>
      <c r="KY66" s="14"/>
      <c r="KZ66" s="14"/>
      <c r="LA66" s="14"/>
      <c r="LB66" s="14"/>
      <c r="LC66" s="14"/>
      <c r="LD66" s="14"/>
      <c r="LE66" s="14"/>
      <c r="LF66" s="14"/>
      <c r="LG66" s="14"/>
      <c r="LH66" s="14"/>
      <c r="LI66" s="14"/>
      <c r="LJ66" s="12">
        <f t="shared" si="15"/>
        <v>5</v>
      </c>
      <c r="LK66" s="6">
        <f t="shared" si="16"/>
        <v>26.448399999999999</v>
      </c>
      <c r="LL66" s="2">
        <f t="shared" si="17"/>
        <v>6.3874877690683219E-3</v>
      </c>
      <c r="LM66" s="7">
        <f t="shared" si="18"/>
        <v>0.6523169698804403</v>
      </c>
      <c r="LN66" s="7">
        <f t="shared" si="19"/>
        <v>0.60535014804906939</v>
      </c>
      <c r="LO66" s="7">
        <f t="shared" si="20"/>
        <v>0.69928379171181132</v>
      </c>
      <c r="LP66" s="7">
        <f t="shared" si="0"/>
        <v>0.60535014804906939</v>
      </c>
    </row>
    <row r="67" spans="1:328" ht="30" customHeight="1">
      <c r="A67" s="2" t="s">
        <v>79</v>
      </c>
      <c r="B67" s="2" t="s">
        <v>80</v>
      </c>
      <c r="C67" s="2"/>
      <c r="D67" s="2" t="s">
        <v>83</v>
      </c>
      <c r="E67" s="5">
        <v>22.02</v>
      </c>
      <c r="F67" s="5">
        <v>21.99</v>
      </c>
      <c r="G67" s="5">
        <f t="shared" si="1"/>
        <v>22.004999999999999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>
        <v>21.992000000000001</v>
      </c>
      <c r="BQ67" s="5">
        <v>21.994</v>
      </c>
      <c r="BR67" s="5">
        <v>21.992999999999999</v>
      </c>
      <c r="BS67" s="5">
        <v>21.998999999999999</v>
      </c>
      <c r="BT67" s="5">
        <v>21.995999999999999</v>
      </c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>
        <v>21.977</v>
      </c>
      <c r="CU67" s="5">
        <v>21.966000000000001</v>
      </c>
      <c r="CV67" s="5">
        <v>21.99</v>
      </c>
      <c r="CW67" s="5">
        <v>21.992000000000001</v>
      </c>
      <c r="CX67" s="5">
        <v>21.995999999999999</v>
      </c>
      <c r="CY67" s="5"/>
      <c r="CZ67" s="5"/>
      <c r="DA67" s="5"/>
      <c r="DB67" s="5"/>
      <c r="DC67" s="5"/>
      <c r="DD67" s="5">
        <v>21.997</v>
      </c>
      <c r="DE67" s="5">
        <v>21.995999999999999</v>
      </c>
      <c r="DF67" s="5">
        <v>21.992000000000001</v>
      </c>
      <c r="DG67" s="5">
        <v>21.99</v>
      </c>
      <c r="DH67" s="5">
        <v>21.994</v>
      </c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13"/>
      <c r="HN67" s="14"/>
      <c r="HO67" s="14"/>
      <c r="HP67" s="14"/>
      <c r="HQ67" s="14"/>
      <c r="HR67" s="14"/>
      <c r="HS67" s="14"/>
      <c r="HT67" s="14"/>
      <c r="HU67" s="14"/>
      <c r="HV67" s="14"/>
      <c r="HW67" s="14"/>
      <c r="HX67" s="11"/>
      <c r="HY67" s="11"/>
      <c r="HZ67" s="11"/>
      <c r="IA67" s="11"/>
      <c r="IB67" s="11"/>
      <c r="IC67" s="11"/>
      <c r="ID67" s="11"/>
      <c r="IE67" s="11"/>
      <c r="IF67" s="11"/>
      <c r="IG67" s="11"/>
      <c r="IH67" s="14"/>
      <c r="II67" s="14"/>
      <c r="IJ67" s="14"/>
      <c r="IK67" s="14"/>
      <c r="IL67" s="14"/>
      <c r="IM67" s="14"/>
      <c r="IN67" s="14"/>
      <c r="IO67" s="14"/>
      <c r="IP67" s="14"/>
      <c r="IQ67" s="14"/>
      <c r="IR67" s="14"/>
      <c r="IS67" s="14"/>
      <c r="IT67" s="14"/>
      <c r="IU67" s="14"/>
      <c r="IV67" s="14"/>
      <c r="IW67" s="14"/>
      <c r="IX67" s="14"/>
      <c r="IY67" s="14"/>
      <c r="IZ67" s="14"/>
      <c r="JA67" s="14"/>
      <c r="JB67" s="14"/>
      <c r="JC67" s="14"/>
      <c r="JD67" s="14"/>
      <c r="JE67" s="14"/>
      <c r="JF67" s="14"/>
      <c r="JG67" s="14"/>
      <c r="JH67" s="14"/>
      <c r="JI67" s="14"/>
      <c r="JJ67" s="14"/>
      <c r="JK67" s="14"/>
      <c r="JL67" s="14"/>
      <c r="JM67" s="14"/>
      <c r="JN67" s="14"/>
      <c r="JO67" s="14"/>
      <c r="JP67" s="14"/>
      <c r="JQ67" s="14"/>
      <c r="JR67" s="14"/>
      <c r="JS67" s="14"/>
      <c r="JT67" s="14"/>
      <c r="JU67" s="14"/>
      <c r="JV67" s="14"/>
      <c r="JW67" s="14"/>
      <c r="JX67" s="14"/>
      <c r="JY67" s="14"/>
      <c r="JZ67" s="14"/>
      <c r="KA67" s="14"/>
      <c r="KB67" s="14"/>
      <c r="KC67" s="14"/>
      <c r="KD67" s="14"/>
      <c r="KE67" s="14"/>
      <c r="KF67" s="14"/>
      <c r="KG67" s="14"/>
      <c r="KH67" s="14"/>
      <c r="KI67" s="14"/>
      <c r="KJ67" s="14"/>
      <c r="KK67" s="14"/>
      <c r="KL67" s="14"/>
      <c r="KM67" s="14"/>
      <c r="KN67" s="14"/>
      <c r="KO67" s="14"/>
      <c r="KP67" s="14"/>
      <c r="KQ67" s="14"/>
      <c r="KR67" s="14"/>
      <c r="KS67" s="14"/>
      <c r="KT67" s="14"/>
      <c r="KU67" s="14"/>
      <c r="KV67" s="14"/>
      <c r="KW67" s="14"/>
      <c r="KX67" s="14"/>
      <c r="KY67" s="14"/>
      <c r="KZ67" s="14"/>
      <c r="LA67" s="14"/>
      <c r="LB67" s="14"/>
      <c r="LC67" s="14"/>
      <c r="LD67" s="14"/>
      <c r="LE67" s="14"/>
      <c r="LF67" s="14"/>
      <c r="LG67" s="14"/>
      <c r="LH67" s="14"/>
      <c r="LI67" s="14"/>
      <c r="LJ67" s="12">
        <f t="shared" si="15"/>
        <v>10</v>
      </c>
      <c r="LK67" s="6">
        <f t="shared" si="16"/>
        <v>132.583</v>
      </c>
      <c r="LL67" s="2">
        <f t="shared" si="17"/>
        <v>1.494434118097235E-2</v>
      </c>
      <c r="LM67" s="7">
        <f t="shared" si="18"/>
        <v>0.84758949981637222</v>
      </c>
      <c r="LN67" s="7">
        <f t="shared" si="19"/>
        <v>0.95911443400296215</v>
      </c>
      <c r="LO67" s="7">
        <f t="shared" si="20"/>
        <v>0.73606456562978229</v>
      </c>
      <c r="LP67" s="7">
        <f>MIN(LN67:LO67)</f>
        <v>0.73606456562978229</v>
      </c>
    </row>
    <row r="68" spans="1:328" ht="30" customHeight="1">
      <c r="A68" s="2" t="s">
        <v>79</v>
      </c>
      <c r="B68" s="2" t="s">
        <v>80</v>
      </c>
      <c r="C68" s="2"/>
      <c r="D68" s="2" t="s">
        <v>84</v>
      </c>
      <c r="E68" s="5">
        <v>26.46</v>
      </c>
      <c r="F68" s="5">
        <v>26.434999999999999</v>
      </c>
      <c r="G68" s="5">
        <f t="shared" si="1"/>
        <v>26.447499999999998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>
        <v>26.456</v>
      </c>
      <c r="BQ68" s="5">
        <v>26.443999999999999</v>
      </c>
      <c r="BR68" s="5">
        <v>26.45</v>
      </c>
      <c r="BS68" s="5">
        <v>26.452000000000002</v>
      </c>
      <c r="BT68" s="5">
        <v>26.44</v>
      </c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>
        <v>26.437999999999999</v>
      </c>
      <c r="CU68" s="5">
        <v>26.442</v>
      </c>
      <c r="CV68" s="5">
        <v>26.445</v>
      </c>
      <c r="CW68" s="5">
        <v>26.449000000000002</v>
      </c>
      <c r="CX68" s="5">
        <v>26.452999999999999</v>
      </c>
      <c r="CY68" s="5"/>
      <c r="CZ68" s="5"/>
      <c r="DA68" s="5"/>
      <c r="DB68" s="5"/>
      <c r="DC68" s="5"/>
      <c r="DD68" s="5">
        <v>26.45</v>
      </c>
      <c r="DE68" s="5">
        <v>26.454000000000001</v>
      </c>
      <c r="DF68" s="5">
        <v>26.452999999999999</v>
      </c>
      <c r="DG68" s="5">
        <v>26.442</v>
      </c>
      <c r="DH68" s="5">
        <v>26.454000000000001</v>
      </c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13"/>
      <c r="HN68" s="14"/>
      <c r="HO68" s="14"/>
      <c r="HP68" s="14"/>
      <c r="HQ68" s="14"/>
      <c r="HR68" s="14"/>
      <c r="HS68" s="14"/>
      <c r="HT68" s="14"/>
      <c r="HU68" s="14"/>
      <c r="HV68" s="14"/>
      <c r="HW68" s="14"/>
      <c r="HX68" s="11"/>
      <c r="HY68" s="11"/>
      <c r="HZ68" s="11"/>
      <c r="IA68" s="11"/>
      <c r="IB68" s="11"/>
      <c r="IC68" s="11"/>
      <c r="ID68" s="11"/>
      <c r="IE68" s="11"/>
      <c r="IF68" s="11"/>
      <c r="IG68" s="11"/>
      <c r="IH68" s="14"/>
      <c r="II68" s="14"/>
      <c r="IJ68" s="14"/>
      <c r="IK68" s="14"/>
      <c r="IL68" s="14"/>
      <c r="IM68" s="14"/>
      <c r="IN68" s="14"/>
      <c r="IO68" s="14"/>
      <c r="IP68" s="14"/>
      <c r="IQ68" s="14"/>
      <c r="IR68" s="14"/>
      <c r="IS68" s="14"/>
      <c r="IT68" s="14"/>
      <c r="IU68" s="14"/>
      <c r="IV68" s="14"/>
      <c r="IW68" s="14"/>
      <c r="IX68" s="14"/>
      <c r="IY68" s="14"/>
      <c r="IZ68" s="14"/>
      <c r="JA68" s="14"/>
      <c r="JB68" s="14"/>
      <c r="JC68" s="14"/>
      <c r="JD68" s="14"/>
      <c r="JE68" s="14"/>
      <c r="JF68" s="14"/>
      <c r="JG68" s="14"/>
      <c r="JH68" s="14"/>
      <c r="JI68" s="14"/>
      <c r="JJ68" s="14"/>
      <c r="JK68" s="14"/>
      <c r="JL68" s="14"/>
      <c r="JM68" s="14"/>
      <c r="JN68" s="14"/>
      <c r="JO68" s="14"/>
      <c r="JP68" s="14"/>
      <c r="JQ68" s="14"/>
      <c r="JR68" s="14"/>
      <c r="JS68" s="14"/>
      <c r="JT68" s="14"/>
      <c r="JU68" s="14"/>
      <c r="JV68" s="14"/>
      <c r="JW68" s="14"/>
      <c r="JX68" s="14"/>
      <c r="JY68" s="14"/>
      <c r="JZ68" s="14"/>
      <c r="KA68" s="14"/>
      <c r="KB68" s="14"/>
      <c r="KC68" s="14"/>
      <c r="KD68" s="14"/>
      <c r="KE68" s="14"/>
      <c r="KF68" s="14"/>
      <c r="KG68" s="14"/>
      <c r="KH68" s="14"/>
      <c r="KI68" s="14"/>
      <c r="KJ68" s="14"/>
      <c r="KK68" s="14"/>
      <c r="KL68" s="14"/>
      <c r="KM68" s="14"/>
      <c r="KN68" s="14"/>
      <c r="KO68" s="14"/>
      <c r="KP68" s="14"/>
      <c r="KQ68" s="14"/>
      <c r="KR68" s="14"/>
      <c r="KS68" s="14"/>
      <c r="KT68" s="14"/>
      <c r="KU68" s="14"/>
      <c r="KV68" s="14"/>
      <c r="KW68" s="14"/>
      <c r="KX68" s="14"/>
      <c r="KY68" s="14"/>
      <c r="KZ68" s="14"/>
      <c r="LA68" s="14"/>
      <c r="LB68" s="14"/>
      <c r="LC68" s="14"/>
      <c r="LD68" s="14"/>
      <c r="LE68" s="14"/>
      <c r="LF68" s="14"/>
      <c r="LG68" s="14"/>
      <c r="LH68" s="14"/>
      <c r="LI68" s="14"/>
      <c r="LJ68" s="12">
        <f t="shared" si="15"/>
        <v>0</v>
      </c>
      <c r="LK68" s="6" t="e">
        <f t="shared" si="16"/>
        <v>#DIV/0!</v>
      </c>
      <c r="LL68" s="2" t="e">
        <f t="shared" si="17"/>
        <v>#DIV/0!</v>
      </c>
      <c r="LM68" s="7" t="e">
        <f t="shared" si="18"/>
        <v>#DIV/0!</v>
      </c>
      <c r="LN68" s="7" t="e">
        <f t="shared" si="19"/>
        <v>#DIV/0!</v>
      </c>
      <c r="LO68" s="7" t="e">
        <f t="shared" si="20"/>
        <v>#DIV/0!</v>
      </c>
      <c r="LP68" s="7" t="e">
        <f>MIN(LN68:LO68)</f>
        <v>#DIV/0!</v>
      </c>
    </row>
    <row r="69" spans="1:328" ht="30" customHeight="1">
      <c r="A69" s="2" t="s">
        <v>79</v>
      </c>
      <c r="B69" s="2" t="s">
        <v>85</v>
      </c>
      <c r="C69" s="2" t="s">
        <v>86</v>
      </c>
      <c r="D69" s="2" t="s">
        <v>34</v>
      </c>
      <c r="E69" s="5">
        <v>132.626</v>
      </c>
      <c r="F69" s="5">
        <v>132.55000000000001</v>
      </c>
      <c r="G69" s="5">
        <f t="shared" si="1"/>
        <v>132.58800000000002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>
        <v>132.589</v>
      </c>
      <c r="AC69" s="5">
        <v>132.59399999999999</v>
      </c>
      <c r="AD69" s="5">
        <v>132.59700000000001</v>
      </c>
      <c r="AE69" s="5">
        <v>132.60499999999999</v>
      </c>
      <c r="AF69" s="5">
        <v>132.59800000000001</v>
      </c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>
        <v>132.56800000000001</v>
      </c>
      <c r="BV69" s="5">
        <v>132.566</v>
      </c>
      <c r="BW69" s="5">
        <v>132.571</v>
      </c>
      <c r="BX69" s="5">
        <v>132.57</v>
      </c>
      <c r="BY69" s="5">
        <v>132.572</v>
      </c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13"/>
      <c r="HN69" s="14"/>
      <c r="HO69" s="14"/>
      <c r="HP69" s="14"/>
      <c r="HQ69" s="14"/>
      <c r="HR69" s="14"/>
      <c r="HS69" s="14"/>
      <c r="HT69" s="14"/>
      <c r="HU69" s="14"/>
      <c r="HV69" s="14"/>
      <c r="HW69" s="14"/>
      <c r="HX69" s="11"/>
      <c r="HY69" s="11"/>
      <c r="HZ69" s="11"/>
      <c r="IA69" s="11"/>
      <c r="IB69" s="11"/>
      <c r="IC69" s="11"/>
      <c r="ID69" s="11"/>
      <c r="IE69" s="11"/>
      <c r="IF69" s="11"/>
      <c r="IG69" s="11"/>
      <c r="IH69" s="14"/>
      <c r="II69" s="14"/>
      <c r="IJ69" s="14"/>
      <c r="IK69" s="14"/>
      <c r="IL69" s="14"/>
      <c r="IM69" s="14"/>
      <c r="IN69" s="14"/>
      <c r="IO69" s="14"/>
      <c r="IP69" s="14"/>
      <c r="IQ69" s="14"/>
      <c r="IR69" s="14"/>
      <c r="IS69" s="14"/>
      <c r="IT69" s="14"/>
      <c r="IU69" s="14"/>
      <c r="IV69" s="14"/>
      <c r="IW69" s="14"/>
      <c r="IX69" s="14"/>
      <c r="IY69" s="14"/>
      <c r="IZ69" s="14"/>
      <c r="JA69" s="14"/>
      <c r="JB69" s="14"/>
      <c r="JC69" s="14"/>
      <c r="JD69" s="14"/>
      <c r="JE69" s="14"/>
      <c r="JF69" s="14"/>
      <c r="JG69" s="14"/>
      <c r="JH69" s="14"/>
      <c r="JI69" s="14"/>
      <c r="JJ69" s="14"/>
      <c r="JK69" s="14"/>
      <c r="JL69" s="14"/>
      <c r="JM69" s="14"/>
      <c r="JN69" s="14"/>
      <c r="JO69" s="14"/>
      <c r="JP69" s="14"/>
      <c r="JQ69" s="14"/>
      <c r="JR69" s="14"/>
      <c r="JS69" s="14"/>
      <c r="JT69" s="14"/>
      <c r="JU69" s="14"/>
      <c r="JV69" s="14"/>
      <c r="JW69" s="14"/>
      <c r="JX69" s="14"/>
      <c r="JY69" s="14"/>
      <c r="JZ69" s="14"/>
      <c r="KA69" s="14"/>
      <c r="KB69" s="14"/>
      <c r="KC69" s="14"/>
      <c r="KD69" s="14"/>
      <c r="KE69" s="14"/>
      <c r="KF69" s="14"/>
      <c r="KG69" s="14"/>
      <c r="KH69" s="14"/>
      <c r="KI69" s="14"/>
      <c r="KJ69" s="14"/>
      <c r="KK69" s="14"/>
      <c r="KL69" s="14"/>
      <c r="KM69" s="14"/>
      <c r="KN69" s="14"/>
      <c r="KO69" s="14"/>
      <c r="KP69" s="14"/>
      <c r="KQ69" s="14"/>
      <c r="KR69" s="14"/>
      <c r="KS69" s="14"/>
      <c r="KT69" s="14"/>
      <c r="KU69" s="14"/>
      <c r="KV69" s="14"/>
      <c r="KW69" s="14"/>
      <c r="KX69" s="14"/>
      <c r="KY69" s="14"/>
      <c r="KZ69" s="14"/>
      <c r="LA69" s="14"/>
      <c r="LB69" s="14"/>
      <c r="LC69" s="14"/>
      <c r="LD69" s="14"/>
      <c r="LE69" s="14"/>
      <c r="LF69" s="14"/>
      <c r="LG69" s="14"/>
      <c r="LH69" s="14"/>
      <c r="LI69" s="14"/>
      <c r="LJ69" s="12">
        <f t="shared" si="15"/>
        <v>0</v>
      </c>
      <c r="LK69" s="6" t="e">
        <f t="shared" si="16"/>
        <v>#DIV/0!</v>
      </c>
      <c r="LL69" s="2" t="e">
        <f t="shared" si="17"/>
        <v>#DIV/0!</v>
      </c>
      <c r="LM69" s="7" t="e">
        <f t="shared" si="18"/>
        <v>#DIV/0!</v>
      </c>
      <c r="LN69" s="7" t="e">
        <f t="shared" si="19"/>
        <v>#DIV/0!</v>
      </c>
      <c r="LO69" s="7" t="e">
        <f t="shared" si="20"/>
        <v>#DIV/0!</v>
      </c>
      <c r="LP69" s="7" t="e">
        <f>MIN(LN69:LO69)</f>
        <v>#DIV/0!</v>
      </c>
    </row>
    <row r="70" spans="1:328" ht="30" customHeight="1">
      <c r="A70" s="2" t="s">
        <v>79</v>
      </c>
      <c r="B70" s="2" t="s">
        <v>85</v>
      </c>
      <c r="C70" s="2" t="s">
        <v>86</v>
      </c>
      <c r="D70" s="2" t="s">
        <v>87</v>
      </c>
      <c r="E70" s="5">
        <v>31.6</v>
      </c>
      <c r="F70" s="5">
        <v>31.55</v>
      </c>
      <c r="G70" s="5">
        <f t="shared" si="1"/>
        <v>31.575000000000003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13"/>
      <c r="HN70" s="14"/>
      <c r="HO70" s="14"/>
      <c r="HP70" s="14"/>
      <c r="HQ70" s="14"/>
      <c r="HR70" s="14"/>
      <c r="HS70" s="14"/>
      <c r="HT70" s="14"/>
      <c r="HU70" s="14"/>
      <c r="HV70" s="14"/>
      <c r="HW70" s="14"/>
      <c r="HX70" s="11"/>
      <c r="HY70" s="11"/>
      <c r="HZ70" s="11"/>
      <c r="IA70" s="11"/>
      <c r="IB70" s="11"/>
      <c r="IC70" s="11"/>
      <c r="ID70" s="11"/>
      <c r="IE70" s="11"/>
      <c r="IF70" s="11"/>
      <c r="IG70" s="11"/>
      <c r="IH70" s="14"/>
      <c r="II70" s="14"/>
      <c r="IJ70" s="14"/>
      <c r="IK70" s="14"/>
      <c r="IL70" s="14"/>
      <c r="IM70" s="14"/>
      <c r="IN70" s="14"/>
      <c r="IO70" s="14"/>
      <c r="IP70" s="14"/>
      <c r="IQ70" s="14"/>
      <c r="IR70" s="14"/>
      <c r="IS70" s="14"/>
      <c r="IT70" s="14"/>
      <c r="IU70" s="14"/>
      <c r="IV70" s="14"/>
      <c r="IW70" s="14"/>
      <c r="IX70" s="14"/>
      <c r="IY70" s="14"/>
      <c r="IZ70" s="14"/>
      <c r="JA70" s="14"/>
      <c r="JB70" s="14"/>
      <c r="JC70" s="14"/>
      <c r="JD70" s="14"/>
      <c r="JE70" s="14"/>
      <c r="JF70" s="14"/>
      <c r="JG70" s="14"/>
      <c r="JH70" s="14"/>
      <c r="JI70" s="14"/>
      <c r="JJ70" s="14"/>
      <c r="JK70" s="14"/>
      <c r="JL70" s="14"/>
      <c r="JM70" s="14"/>
      <c r="JN70" s="14"/>
      <c r="JO70" s="14"/>
      <c r="JP70" s="14"/>
      <c r="JQ70" s="14"/>
      <c r="JR70" s="14"/>
      <c r="JS70" s="14"/>
      <c r="JT70" s="14"/>
      <c r="JU70" s="14"/>
      <c r="JV70" s="14"/>
      <c r="JW70" s="14"/>
      <c r="JX70" s="14"/>
      <c r="JY70" s="14"/>
      <c r="JZ70" s="14"/>
      <c r="KA70" s="14"/>
      <c r="KB70" s="14"/>
      <c r="KC70" s="14"/>
      <c r="KD70" s="14"/>
      <c r="KE70" s="14"/>
      <c r="KF70" s="14"/>
      <c r="KG70" s="14"/>
      <c r="KH70" s="14"/>
      <c r="KI70" s="14"/>
      <c r="KJ70" s="14"/>
      <c r="KK70" s="14"/>
      <c r="KL70" s="14"/>
      <c r="KM70" s="14"/>
      <c r="KN70" s="14"/>
      <c r="KO70" s="14"/>
      <c r="KP70" s="14"/>
      <c r="KQ70" s="14"/>
      <c r="KR70" s="14"/>
      <c r="KS70" s="14"/>
      <c r="KT70" s="14"/>
      <c r="KU70" s="14"/>
      <c r="KV70" s="14"/>
      <c r="KW70" s="14"/>
      <c r="KX70" s="14"/>
      <c r="KY70" s="14"/>
      <c r="KZ70" s="14"/>
      <c r="LA70" s="14"/>
      <c r="LB70" s="14"/>
      <c r="LC70" s="14"/>
      <c r="LD70" s="14"/>
      <c r="LE70" s="14"/>
      <c r="LF70" s="14"/>
      <c r="LG70" s="14"/>
      <c r="LH70" s="14"/>
      <c r="LI70" s="14"/>
      <c r="LJ70" s="12">
        <f t="shared" si="15"/>
        <v>0</v>
      </c>
      <c r="LK70" s="6" t="e">
        <f t="shared" si="16"/>
        <v>#DIV/0!</v>
      </c>
      <c r="LL70" s="2" t="e">
        <f t="shared" si="17"/>
        <v>#DIV/0!</v>
      </c>
      <c r="LM70" s="7" t="e">
        <f t="shared" si="18"/>
        <v>#DIV/0!</v>
      </c>
      <c r="LN70" s="7" t="e">
        <f t="shared" si="19"/>
        <v>#DIV/0!</v>
      </c>
      <c r="LO70" s="7" t="e">
        <f t="shared" si="20"/>
        <v>#DIV/0!</v>
      </c>
      <c r="LP70" s="7" t="e">
        <f t="shared" si="0"/>
        <v>#DIV/0!</v>
      </c>
    </row>
    <row r="71" spans="1:328" ht="30" customHeight="1">
      <c r="A71" s="2" t="s">
        <v>79</v>
      </c>
      <c r="B71" s="2" t="s">
        <v>85</v>
      </c>
      <c r="C71" s="2" t="s">
        <v>88</v>
      </c>
      <c r="D71" s="2" t="s">
        <v>33</v>
      </c>
      <c r="E71" s="5">
        <v>101.714</v>
      </c>
      <c r="F71" s="5">
        <v>101.63800000000001</v>
      </c>
      <c r="G71" s="5">
        <f t="shared" si="1"/>
        <v>101.676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13"/>
      <c r="HN71" s="14"/>
      <c r="HO71" s="14"/>
      <c r="HP71" s="14"/>
      <c r="HQ71" s="14"/>
      <c r="HR71" s="14"/>
      <c r="HS71" s="14"/>
      <c r="HT71" s="14"/>
      <c r="HU71" s="14"/>
      <c r="HV71" s="14"/>
      <c r="HW71" s="14"/>
      <c r="HX71" s="11"/>
      <c r="HY71" s="11"/>
      <c r="HZ71" s="11"/>
      <c r="IA71" s="11"/>
      <c r="IB71" s="11"/>
      <c r="IC71" s="11"/>
      <c r="ID71" s="11"/>
      <c r="IE71" s="11"/>
      <c r="IF71" s="11"/>
      <c r="IG71" s="11"/>
      <c r="IH71" s="14"/>
      <c r="II71" s="14"/>
      <c r="IJ71" s="14"/>
      <c r="IK71" s="14"/>
      <c r="IL71" s="14"/>
      <c r="IM71" s="14"/>
      <c r="IN71" s="14"/>
      <c r="IO71" s="14"/>
      <c r="IP71" s="14"/>
      <c r="IQ71" s="14"/>
      <c r="IR71" s="14"/>
      <c r="IS71" s="14"/>
      <c r="IT71" s="14"/>
      <c r="IU71" s="14"/>
      <c r="IV71" s="14"/>
      <c r="IW71" s="14"/>
      <c r="IX71" s="14"/>
      <c r="IY71" s="14"/>
      <c r="IZ71" s="14"/>
      <c r="JA71" s="14"/>
      <c r="JB71" s="14"/>
      <c r="JC71" s="14"/>
      <c r="JD71" s="14"/>
      <c r="JE71" s="14"/>
      <c r="JF71" s="14"/>
      <c r="JG71" s="14"/>
      <c r="JH71" s="14"/>
      <c r="JI71" s="14"/>
      <c r="JJ71" s="14"/>
      <c r="JK71" s="14"/>
      <c r="JL71" s="14"/>
      <c r="JM71" s="14"/>
      <c r="JN71" s="14"/>
      <c r="JO71" s="14"/>
      <c r="JP71" s="14"/>
      <c r="JQ71" s="14"/>
      <c r="JR71" s="14"/>
      <c r="JS71" s="14"/>
      <c r="JT71" s="14"/>
      <c r="JU71" s="14"/>
      <c r="JV71" s="14"/>
      <c r="JW71" s="14"/>
      <c r="JX71" s="14"/>
      <c r="JY71" s="14"/>
      <c r="JZ71" s="14"/>
      <c r="KA71" s="14"/>
      <c r="KB71" s="14"/>
      <c r="KC71" s="14"/>
      <c r="KD71" s="14"/>
      <c r="KE71" s="14"/>
      <c r="KF71" s="14"/>
      <c r="KG71" s="14"/>
      <c r="KH71" s="14"/>
      <c r="KI71" s="14"/>
      <c r="KJ71" s="14"/>
      <c r="KK71" s="14"/>
      <c r="KL71" s="14"/>
      <c r="KM71" s="14"/>
      <c r="KN71" s="14"/>
      <c r="KO71" s="14"/>
      <c r="KP71" s="14"/>
      <c r="KQ71" s="14"/>
      <c r="KR71" s="14"/>
      <c r="KS71" s="14"/>
      <c r="KT71" s="14"/>
      <c r="KU71" s="14"/>
      <c r="KV71" s="14"/>
      <c r="KW71" s="14"/>
      <c r="KX71" s="14"/>
      <c r="KY71" s="14"/>
      <c r="KZ71" s="14"/>
      <c r="LA71" s="14"/>
      <c r="LB71" s="14"/>
      <c r="LC71" s="14"/>
      <c r="LD71" s="14"/>
      <c r="LE71" s="14"/>
      <c r="LF71" s="14"/>
      <c r="LG71" s="14"/>
      <c r="LH71" s="14"/>
      <c r="LI71" s="14"/>
      <c r="LJ71" s="12">
        <f t="shared" si="15"/>
        <v>0</v>
      </c>
      <c r="LK71" s="6" t="e">
        <f t="shared" si="16"/>
        <v>#DIV/0!</v>
      </c>
      <c r="LL71" s="2" t="e">
        <f t="shared" si="17"/>
        <v>#DIV/0!</v>
      </c>
      <c r="LM71" s="7" t="e">
        <f t="shared" si="18"/>
        <v>#DIV/0!</v>
      </c>
      <c r="LN71" s="7" t="e">
        <f t="shared" si="19"/>
        <v>#DIV/0!</v>
      </c>
      <c r="LO71" s="7" t="e">
        <f t="shared" si="20"/>
        <v>#DIV/0!</v>
      </c>
      <c r="LP71" s="7" t="e">
        <f t="shared" si="0"/>
        <v>#DIV/0!</v>
      </c>
    </row>
    <row r="72" spans="1:328" ht="30" customHeight="1">
      <c r="A72" s="2" t="s">
        <v>30</v>
      </c>
      <c r="B72" s="2" t="s">
        <v>89</v>
      </c>
      <c r="C72" s="2" t="s">
        <v>90</v>
      </c>
      <c r="D72" s="2" t="s">
        <v>34</v>
      </c>
      <c r="E72" s="4">
        <v>82.855000000000004</v>
      </c>
      <c r="F72" s="5">
        <v>82.82</v>
      </c>
      <c r="G72" s="5">
        <f t="shared" si="1"/>
        <v>82.837500000000006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13"/>
      <c r="HN72" s="14"/>
      <c r="HO72" s="14"/>
      <c r="HP72" s="14"/>
      <c r="HQ72" s="14"/>
      <c r="HR72" s="14"/>
      <c r="HS72" s="14"/>
      <c r="HT72" s="14"/>
      <c r="HU72" s="14"/>
      <c r="HV72" s="14"/>
      <c r="HW72" s="14"/>
      <c r="HX72" s="11"/>
      <c r="HY72" s="11"/>
      <c r="HZ72" s="11"/>
      <c r="IA72" s="11"/>
      <c r="IB72" s="11"/>
      <c r="IC72" s="11"/>
      <c r="ID72" s="11"/>
      <c r="IE72" s="11"/>
      <c r="IF72" s="11"/>
      <c r="IG72" s="11"/>
      <c r="IH72" s="14"/>
      <c r="II72" s="14"/>
      <c r="IJ72" s="14"/>
      <c r="IK72" s="14"/>
      <c r="IL72" s="14"/>
      <c r="IM72" s="14"/>
      <c r="IN72" s="14"/>
      <c r="IO72" s="14"/>
      <c r="IP72" s="14"/>
      <c r="IQ72" s="14"/>
      <c r="IR72" s="14"/>
      <c r="IS72" s="14"/>
      <c r="IT72" s="14"/>
      <c r="IU72" s="14"/>
      <c r="IV72" s="14"/>
      <c r="IW72" s="14"/>
      <c r="IX72" s="14"/>
      <c r="IY72" s="14"/>
      <c r="IZ72" s="14"/>
      <c r="JA72" s="14"/>
      <c r="JB72" s="14"/>
      <c r="JC72" s="14"/>
      <c r="JD72" s="14"/>
      <c r="JE72" s="14"/>
      <c r="JF72" s="14"/>
      <c r="JG72" s="14"/>
      <c r="JH72" s="14"/>
      <c r="JI72" s="14"/>
      <c r="JJ72" s="14"/>
      <c r="JK72" s="14"/>
      <c r="JL72" s="14"/>
      <c r="JM72" s="14"/>
      <c r="JN72" s="14"/>
      <c r="JO72" s="14"/>
      <c r="JP72" s="14"/>
      <c r="JQ72" s="14"/>
      <c r="JR72" s="14"/>
      <c r="JS72" s="14"/>
      <c r="JT72" s="14"/>
      <c r="JU72" s="14"/>
      <c r="JV72" s="14"/>
      <c r="JW72" s="14"/>
      <c r="JX72" s="14"/>
      <c r="JY72" s="14"/>
      <c r="JZ72" s="14"/>
      <c r="KA72" s="14"/>
      <c r="KB72" s="14"/>
      <c r="KC72" s="14"/>
      <c r="KD72" s="14"/>
      <c r="KE72" s="14"/>
      <c r="KF72" s="14"/>
      <c r="KG72" s="14"/>
      <c r="KH72" s="14"/>
      <c r="KI72" s="14"/>
      <c r="KJ72" s="14"/>
      <c r="KK72" s="14"/>
      <c r="KL72" s="14"/>
      <c r="KM72" s="14"/>
      <c r="KN72" s="14"/>
      <c r="KO72" s="14"/>
      <c r="KP72" s="14"/>
      <c r="KQ72" s="14"/>
      <c r="KR72" s="14"/>
      <c r="KS72" s="14"/>
      <c r="KT72" s="14"/>
      <c r="KU72" s="14"/>
      <c r="KV72" s="14"/>
      <c r="KW72" s="14"/>
      <c r="KX72" s="14"/>
      <c r="KY72" s="14"/>
      <c r="KZ72" s="14"/>
      <c r="LA72" s="14"/>
      <c r="LB72" s="14"/>
      <c r="LC72" s="14"/>
      <c r="LD72" s="14"/>
      <c r="LE72" s="14"/>
      <c r="LF72" s="14"/>
      <c r="LG72" s="14"/>
      <c r="LH72" s="14"/>
      <c r="LI72" s="14"/>
      <c r="LJ72" s="12">
        <f t="shared" si="15"/>
        <v>5</v>
      </c>
      <c r="LK72" s="6">
        <f t="shared" si="16"/>
        <v>27.984400000000001</v>
      </c>
      <c r="LL72" s="2">
        <f t="shared" si="17"/>
        <v>2.8875595231960788E-2</v>
      </c>
      <c r="LM72" s="7">
        <f t="shared" si="18"/>
        <v>0.57718867897897042</v>
      </c>
      <c r="LN72" s="7">
        <f t="shared" si="19"/>
        <v>0.75727154682039699</v>
      </c>
      <c r="LO72" s="7">
        <f t="shared" si="20"/>
        <v>0.39710581113754378</v>
      </c>
      <c r="LP72" s="7">
        <f t="shared" si="0"/>
        <v>0.39710581113754378</v>
      </c>
    </row>
    <row r="73" spans="1:328" ht="30" customHeight="1">
      <c r="A73" s="2" t="s">
        <v>30</v>
      </c>
      <c r="B73" s="2" t="s">
        <v>89</v>
      </c>
      <c r="C73" s="2" t="s">
        <v>90</v>
      </c>
      <c r="D73" s="2" t="s">
        <v>65</v>
      </c>
      <c r="E73" s="4">
        <v>10.015000000000001</v>
      </c>
      <c r="F73" s="5">
        <v>10</v>
      </c>
      <c r="G73" s="5">
        <f t="shared" si="1"/>
        <v>10.0075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13"/>
      <c r="HN73" s="14"/>
      <c r="HO73" s="14"/>
      <c r="HP73" s="14"/>
      <c r="HQ73" s="14"/>
      <c r="HR73" s="14"/>
      <c r="HS73" s="14"/>
      <c r="HT73" s="14"/>
      <c r="HU73" s="14"/>
      <c r="HV73" s="14"/>
      <c r="HW73" s="14"/>
      <c r="HX73" s="11"/>
      <c r="HY73" s="11"/>
      <c r="HZ73" s="11"/>
      <c r="IA73" s="11"/>
      <c r="IB73" s="11"/>
      <c r="IC73" s="11"/>
      <c r="ID73" s="11"/>
      <c r="IE73" s="11"/>
      <c r="IF73" s="11"/>
      <c r="IG73" s="11"/>
      <c r="IH73" s="14"/>
      <c r="II73" s="14"/>
      <c r="IJ73" s="14"/>
      <c r="IK73" s="14"/>
      <c r="IL73" s="14"/>
      <c r="IM73" s="14"/>
      <c r="IN73" s="14"/>
      <c r="IO73" s="14"/>
      <c r="IP73" s="14"/>
      <c r="IQ73" s="14"/>
      <c r="IR73" s="14"/>
      <c r="IS73" s="14"/>
      <c r="IT73" s="14"/>
      <c r="IU73" s="14"/>
      <c r="IV73" s="14"/>
      <c r="IW73" s="14"/>
      <c r="IX73" s="14"/>
      <c r="IY73" s="14"/>
      <c r="IZ73" s="14"/>
      <c r="JA73" s="14"/>
      <c r="JB73" s="14"/>
      <c r="JC73" s="14"/>
      <c r="JD73" s="14"/>
      <c r="JE73" s="14"/>
      <c r="JF73" s="14"/>
      <c r="JG73" s="14"/>
      <c r="JH73" s="14"/>
      <c r="JI73" s="14"/>
      <c r="JJ73" s="14"/>
      <c r="JK73" s="14"/>
      <c r="JL73" s="14"/>
      <c r="JM73" s="14"/>
      <c r="JN73" s="14"/>
      <c r="JO73" s="14"/>
      <c r="JP73" s="14"/>
      <c r="JQ73" s="14"/>
      <c r="JR73" s="14"/>
      <c r="JS73" s="14"/>
      <c r="JT73" s="14"/>
      <c r="JU73" s="14"/>
      <c r="JV73" s="14"/>
      <c r="JW73" s="14"/>
      <c r="JX73" s="14"/>
      <c r="JY73" s="14"/>
      <c r="JZ73" s="14"/>
      <c r="KA73" s="14"/>
      <c r="KB73" s="14"/>
      <c r="KC73" s="14"/>
      <c r="KD73" s="14"/>
      <c r="KE73" s="14"/>
      <c r="KF73" s="14"/>
      <c r="KG73" s="14"/>
      <c r="KH73" s="14"/>
      <c r="KI73" s="14"/>
      <c r="KJ73" s="14"/>
      <c r="KK73" s="14"/>
      <c r="KL73" s="14"/>
      <c r="KM73" s="14"/>
      <c r="KN73" s="14"/>
      <c r="KO73" s="14"/>
      <c r="KP73" s="14"/>
      <c r="KQ73" s="14"/>
      <c r="KR73" s="14"/>
      <c r="KS73" s="14"/>
      <c r="KT73" s="14"/>
      <c r="KU73" s="14"/>
      <c r="KV73" s="14"/>
      <c r="KW73" s="14"/>
      <c r="KX73" s="14"/>
      <c r="KY73" s="14"/>
      <c r="KZ73" s="14"/>
      <c r="LA73" s="14"/>
      <c r="LB73" s="14"/>
      <c r="LC73" s="14"/>
      <c r="LD73" s="14"/>
      <c r="LE73" s="14"/>
      <c r="LF73" s="14"/>
      <c r="LG73" s="14"/>
      <c r="LH73" s="14"/>
      <c r="LI73" s="14"/>
      <c r="LJ73" s="12">
        <f t="shared" si="15"/>
        <v>5</v>
      </c>
      <c r="LK73" s="6">
        <f t="shared" si="16"/>
        <v>19.9482</v>
      </c>
      <c r="LL73" s="2">
        <f t="shared" si="17"/>
        <v>2.0493901531909572E-3</v>
      </c>
      <c r="LM73" s="7">
        <f t="shared" si="18"/>
        <v>1.6265001215816177</v>
      </c>
      <c r="LN73" s="7">
        <f t="shared" si="19"/>
        <v>2.7325202042571641</v>
      </c>
      <c r="LO73" s="7">
        <f t="shared" si="20"/>
        <v>0.52048003890607153</v>
      </c>
      <c r="LP73" s="7">
        <f t="shared" si="0"/>
        <v>0.52048003890607153</v>
      </c>
    </row>
    <row r="74" spans="1:328" ht="30" customHeight="1">
      <c r="A74" s="2" t="s">
        <v>30</v>
      </c>
      <c r="B74" s="2" t="s">
        <v>89</v>
      </c>
      <c r="C74" s="2" t="s">
        <v>91</v>
      </c>
      <c r="D74" s="2" t="s">
        <v>39</v>
      </c>
      <c r="E74" s="5">
        <v>28.05</v>
      </c>
      <c r="F74" s="5">
        <v>27.95</v>
      </c>
      <c r="G74" s="5">
        <f t="shared" si="1"/>
        <v>28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>
        <v>27.954999999999998</v>
      </c>
      <c r="AM74" s="5">
        <v>27.951000000000001</v>
      </c>
      <c r="AN74" s="5">
        <v>28.001000000000001</v>
      </c>
      <c r="AO74" s="5">
        <v>28.004999999999999</v>
      </c>
      <c r="AP74" s="5">
        <v>28.01</v>
      </c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13"/>
      <c r="HN74" s="14"/>
      <c r="HO74" s="14"/>
      <c r="HP74" s="14"/>
      <c r="HQ74" s="14"/>
      <c r="HR74" s="14"/>
      <c r="HS74" s="14"/>
      <c r="HT74" s="14"/>
      <c r="HU74" s="14"/>
      <c r="HV74" s="14"/>
      <c r="HW74" s="14"/>
      <c r="HX74" s="11"/>
      <c r="HY74" s="11"/>
      <c r="HZ74" s="11"/>
      <c r="IA74" s="11"/>
      <c r="IB74" s="11"/>
      <c r="IC74" s="11"/>
      <c r="ID74" s="11"/>
      <c r="IE74" s="11"/>
      <c r="IF74" s="11"/>
      <c r="IG74" s="11"/>
      <c r="IH74" s="14"/>
      <c r="II74" s="14"/>
      <c r="IJ74" s="14"/>
      <c r="IK74" s="14"/>
      <c r="IL74" s="14"/>
      <c r="IM74" s="14"/>
      <c r="IN74" s="14"/>
      <c r="IO74" s="14"/>
      <c r="IP74" s="14"/>
      <c r="IQ74" s="14"/>
      <c r="IR74" s="14"/>
      <c r="IS74" s="14"/>
      <c r="IT74" s="14"/>
      <c r="IU74" s="14"/>
      <c r="IV74" s="14"/>
      <c r="IW74" s="14"/>
      <c r="IX74" s="14"/>
      <c r="IY74" s="14"/>
      <c r="IZ74" s="14"/>
      <c r="JA74" s="14"/>
      <c r="JB74" s="14"/>
      <c r="JC74" s="14"/>
      <c r="JD74" s="14"/>
      <c r="JE74" s="14"/>
      <c r="JF74" s="14"/>
      <c r="JG74" s="14"/>
      <c r="JH74" s="14"/>
      <c r="JI74" s="14"/>
      <c r="JJ74" s="14"/>
      <c r="JK74" s="14"/>
      <c r="JL74" s="14"/>
      <c r="JM74" s="14"/>
      <c r="JN74" s="14"/>
      <c r="JO74" s="14"/>
      <c r="JP74" s="14"/>
      <c r="JQ74" s="14"/>
      <c r="JR74" s="14"/>
      <c r="JS74" s="14"/>
      <c r="JT74" s="14"/>
      <c r="JU74" s="14"/>
      <c r="JV74" s="14"/>
      <c r="JW74" s="14"/>
      <c r="JX74" s="14"/>
      <c r="JY74" s="14"/>
      <c r="JZ74" s="14"/>
      <c r="KA74" s="14"/>
      <c r="KB74" s="14"/>
      <c r="KC74" s="14"/>
      <c r="KD74" s="14"/>
      <c r="KE74" s="14"/>
      <c r="KF74" s="14"/>
      <c r="KG74" s="14"/>
      <c r="KH74" s="14"/>
      <c r="KI74" s="14"/>
      <c r="KJ74" s="14"/>
      <c r="KK74" s="14"/>
      <c r="KL74" s="14"/>
      <c r="KM74" s="14"/>
      <c r="KN74" s="14"/>
      <c r="KO74" s="14"/>
      <c r="KP74" s="14"/>
      <c r="KQ74" s="14"/>
      <c r="KR74" s="14"/>
      <c r="KS74" s="14"/>
      <c r="KT74" s="14"/>
      <c r="KU74" s="14"/>
      <c r="KV74" s="14"/>
      <c r="KW74" s="14"/>
      <c r="KX74" s="14"/>
      <c r="KY74" s="14"/>
      <c r="KZ74" s="14"/>
      <c r="LA74" s="14"/>
      <c r="LB74" s="14"/>
      <c r="LC74" s="14"/>
      <c r="LD74" s="14"/>
      <c r="LE74" s="14"/>
      <c r="LF74" s="14"/>
      <c r="LG74" s="14"/>
      <c r="LH74" s="14"/>
      <c r="LI74" s="14"/>
      <c r="LJ74" s="12">
        <f t="shared" si="15"/>
        <v>0</v>
      </c>
      <c r="LK74" s="6" t="e">
        <f t="shared" si="16"/>
        <v>#DIV/0!</v>
      </c>
      <c r="LL74" s="2" t="e">
        <f t="shared" si="17"/>
        <v>#DIV/0!</v>
      </c>
      <c r="LM74" s="7" t="e">
        <f t="shared" si="18"/>
        <v>#DIV/0!</v>
      </c>
      <c r="LN74" s="7" t="e">
        <f t="shared" si="19"/>
        <v>#DIV/0!</v>
      </c>
      <c r="LO74" s="7" t="e">
        <f t="shared" si="20"/>
        <v>#DIV/0!</v>
      </c>
      <c r="LP74" s="7" t="e">
        <f t="shared" si="0"/>
        <v>#DIV/0!</v>
      </c>
    </row>
    <row r="75" spans="1:328" ht="30" customHeight="1">
      <c r="A75" s="2" t="s">
        <v>30</v>
      </c>
      <c r="B75" s="2" t="s">
        <v>89</v>
      </c>
      <c r="C75" s="2" t="s">
        <v>91</v>
      </c>
      <c r="D75" s="2" t="s">
        <v>33</v>
      </c>
      <c r="E75" s="4">
        <v>19.965</v>
      </c>
      <c r="F75" s="5">
        <v>19.945</v>
      </c>
      <c r="G75" s="5">
        <f t="shared" si="1"/>
        <v>19.954999999999998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>
        <v>19.946000000000002</v>
      </c>
      <c r="AM75" s="5">
        <v>19.95</v>
      </c>
      <c r="AN75" s="5">
        <v>19.949000000000002</v>
      </c>
      <c r="AO75" s="5">
        <v>19.95</v>
      </c>
      <c r="AP75" s="5">
        <v>19.946000000000002</v>
      </c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13"/>
      <c r="HN75" s="14"/>
      <c r="HO75" s="14"/>
      <c r="HP75" s="14"/>
      <c r="HQ75" s="14"/>
      <c r="HR75" s="14"/>
      <c r="HS75" s="14"/>
      <c r="HT75" s="14"/>
      <c r="HU75" s="14"/>
      <c r="HV75" s="14"/>
      <c r="HW75" s="14"/>
      <c r="HX75" s="11"/>
      <c r="HY75" s="11"/>
      <c r="HZ75" s="11"/>
      <c r="IA75" s="11"/>
      <c r="IB75" s="11"/>
      <c r="IC75" s="11"/>
      <c r="ID75" s="11"/>
      <c r="IE75" s="11"/>
      <c r="IF75" s="11"/>
      <c r="IG75" s="11"/>
      <c r="IH75" s="14"/>
      <c r="II75" s="14"/>
      <c r="IJ75" s="14"/>
      <c r="IK75" s="14"/>
      <c r="IL75" s="14"/>
      <c r="IM75" s="14"/>
      <c r="IN75" s="14"/>
      <c r="IO75" s="14"/>
      <c r="IP75" s="14"/>
      <c r="IQ75" s="14"/>
      <c r="IR75" s="14"/>
      <c r="IS75" s="14"/>
      <c r="IT75" s="14"/>
      <c r="IU75" s="14"/>
      <c r="IV75" s="14"/>
      <c r="IW75" s="14"/>
      <c r="IX75" s="14"/>
      <c r="IY75" s="14"/>
      <c r="IZ75" s="14"/>
      <c r="JA75" s="14"/>
      <c r="JB75" s="14"/>
      <c r="JC75" s="14"/>
      <c r="JD75" s="14"/>
      <c r="JE75" s="14"/>
      <c r="JF75" s="14"/>
      <c r="JG75" s="14"/>
      <c r="JH75" s="14"/>
      <c r="JI75" s="14"/>
      <c r="JJ75" s="14"/>
      <c r="JK75" s="14"/>
      <c r="JL75" s="14"/>
      <c r="JM75" s="14"/>
      <c r="JN75" s="14"/>
      <c r="JO75" s="14"/>
      <c r="JP75" s="14"/>
      <c r="JQ75" s="14"/>
      <c r="JR75" s="14"/>
      <c r="JS75" s="14"/>
      <c r="JT75" s="14"/>
      <c r="JU75" s="14"/>
      <c r="JV75" s="14"/>
      <c r="JW75" s="14"/>
      <c r="JX75" s="14"/>
      <c r="JY75" s="14"/>
      <c r="JZ75" s="14"/>
      <c r="KA75" s="14"/>
      <c r="KB75" s="14"/>
      <c r="KC75" s="14"/>
      <c r="KD75" s="14"/>
      <c r="KE75" s="14"/>
      <c r="KF75" s="14"/>
      <c r="KG75" s="14"/>
      <c r="KH75" s="14"/>
      <c r="KI75" s="14"/>
      <c r="KJ75" s="14"/>
      <c r="KK75" s="14"/>
      <c r="KL75" s="14"/>
      <c r="KM75" s="14"/>
      <c r="KN75" s="14"/>
      <c r="KO75" s="14"/>
      <c r="KP75" s="14"/>
      <c r="KQ75" s="14"/>
      <c r="KR75" s="14"/>
      <c r="KS75" s="14"/>
      <c r="KT75" s="14"/>
      <c r="KU75" s="14"/>
      <c r="KV75" s="14"/>
      <c r="KW75" s="14"/>
      <c r="KX75" s="14"/>
      <c r="KY75" s="14"/>
      <c r="KZ75" s="14"/>
      <c r="LA75" s="14"/>
      <c r="LB75" s="14"/>
      <c r="LC75" s="14"/>
      <c r="LD75" s="14"/>
      <c r="LE75" s="14"/>
      <c r="LF75" s="14"/>
      <c r="LG75" s="14"/>
      <c r="LH75" s="14"/>
      <c r="LI75" s="14"/>
      <c r="LJ75" s="12">
        <f t="shared" si="15"/>
        <v>15</v>
      </c>
      <c r="LK75" s="6">
        <f t="shared" si="16"/>
        <v>17.359400000000004</v>
      </c>
      <c r="LL75" s="2">
        <f t="shared" si="17"/>
        <v>1.0555973258227177E-3</v>
      </c>
      <c r="LM75" s="7">
        <f t="shared" si="18"/>
        <v>3.1577697781067315</v>
      </c>
      <c r="LN75" s="7">
        <f t="shared" si="19"/>
        <v>3.3472359647921373</v>
      </c>
      <c r="LO75" s="7">
        <f t="shared" si="20"/>
        <v>2.9683035914213263</v>
      </c>
      <c r="LP75" s="7">
        <f>MIN(LN75:LO75)</f>
        <v>2.9683035914213263</v>
      </c>
    </row>
    <row r="76" spans="1:328" ht="30" customHeight="1">
      <c r="A76" s="2" t="s">
        <v>30</v>
      </c>
      <c r="B76" s="2" t="s">
        <v>89</v>
      </c>
      <c r="C76" s="2" t="s">
        <v>70</v>
      </c>
      <c r="D76" s="2" t="s">
        <v>92</v>
      </c>
      <c r="E76" s="4">
        <v>31.475000000000001</v>
      </c>
      <c r="F76" s="4">
        <v>31.445</v>
      </c>
      <c r="G76" s="5">
        <f t="shared" si="1"/>
        <v>31.46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13"/>
      <c r="HN76" s="14"/>
      <c r="HO76" s="14"/>
      <c r="HP76" s="14"/>
      <c r="HQ76" s="14"/>
      <c r="HR76" s="14"/>
      <c r="HS76" s="14"/>
      <c r="HT76" s="14"/>
      <c r="HU76" s="14"/>
      <c r="HV76" s="14"/>
      <c r="HW76" s="14"/>
      <c r="HX76" s="11"/>
      <c r="HY76" s="11"/>
      <c r="HZ76" s="11"/>
      <c r="IA76" s="11"/>
      <c r="IB76" s="11"/>
      <c r="IC76" s="11"/>
      <c r="ID76" s="11"/>
      <c r="IE76" s="11"/>
      <c r="IF76" s="11"/>
      <c r="IG76" s="11"/>
      <c r="IH76" s="14"/>
      <c r="II76" s="14"/>
      <c r="IJ76" s="14"/>
      <c r="IK76" s="14"/>
      <c r="IL76" s="14"/>
      <c r="IM76" s="14"/>
      <c r="IN76" s="14"/>
      <c r="IO76" s="14"/>
      <c r="IP76" s="14"/>
      <c r="IQ76" s="14"/>
      <c r="IR76" s="14"/>
      <c r="IS76" s="14"/>
      <c r="IT76" s="14"/>
      <c r="IU76" s="14"/>
      <c r="IV76" s="14"/>
      <c r="IW76" s="14"/>
      <c r="IX76" s="14"/>
      <c r="IY76" s="14"/>
      <c r="IZ76" s="14"/>
      <c r="JA76" s="14"/>
      <c r="JB76" s="14"/>
      <c r="JC76" s="14"/>
      <c r="JD76" s="14"/>
      <c r="JE76" s="14"/>
      <c r="JF76" s="14"/>
      <c r="JG76" s="14"/>
      <c r="JH76" s="14"/>
      <c r="JI76" s="14"/>
      <c r="JJ76" s="14"/>
      <c r="JK76" s="14"/>
      <c r="JL76" s="14"/>
      <c r="JM76" s="14"/>
      <c r="JN76" s="14"/>
      <c r="JO76" s="14"/>
      <c r="JP76" s="14"/>
      <c r="JQ76" s="14"/>
      <c r="JR76" s="14"/>
      <c r="JS76" s="14"/>
      <c r="JT76" s="14"/>
      <c r="JU76" s="14"/>
      <c r="JV76" s="14"/>
      <c r="JW76" s="14"/>
      <c r="JX76" s="14"/>
      <c r="JY76" s="14"/>
      <c r="JZ76" s="14"/>
      <c r="KA76" s="14"/>
      <c r="KB76" s="14"/>
      <c r="KC76" s="14"/>
      <c r="KD76" s="14"/>
      <c r="KE76" s="14"/>
      <c r="KF76" s="14"/>
      <c r="KG76" s="14"/>
      <c r="KH76" s="14"/>
      <c r="KI76" s="14"/>
      <c r="KJ76" s="14"/>
      <c r="KK76" s="14"/>
      <c r="KL76" s="14"/>
      <c r="KM76" s="14"/>
      <c r="KN76" s="14"/>
      <c r="KO76" s="14"/>
      <c r="KP76" s="14"/>
      <c r="KQ76" s="14"/>
      <c r="KR76" s="14"/>
      <c r="KS76" s="14"/>
      <c r="KT76" s="14"/>
      <c r="KU76" s="14"/>
      <c r="KV76" s="14"/>
      <c r="KW76" s="14"/>
      <c r="KX76" s="14"/>
      <c r="KY76" s="14"/>
      <c r="KZ76" s="14"/>
      <c r="LA76" s="14"/>
      <c r="LB76" s="14"/>
      <c r="LC76" s="14"/>
      <c r="LD76" s="14"/>
      <c r="LE76" s="14"/>
      <c r="LF76" s="14"/>
      <c r="LG76" s="14"/>
      <c r="LH76" s="14"/>
      <c r="LI76" s="14"/>
      <c r="LJ76" s="12">
        <f t="shared" si="15"/>
        <v>5</v>
      </c>
      <c r="LK76" s="6">
        <f t="shared" si="16"/>
        <v>32.263999999999996</v>
      </c>
      <c r="LL76" s="2">
        <f t="shared" si="17"/>
        <v>3.5355339059325369E-3</v>
      </c>
      <c r="LM76" s="7">
        <f t="shared" si="18"/>
        <v>2.3570226039551585</v>
      </c>
      <c r="LN76" s="7">
        <f t="shared" si="19"/>
        <v>3.3941125496957496</v>
      </c>
      <c r="LO76" s="7">
        <f t="shared" si="20"/>
        <v>1.3199326582145672</v>
      </c>
      <c r="LP76" s="7">
        <f>MIN(LN76:LO76)</f>
        <v>1.3199326582145672</v>
      </c>
    </row>
    <row r="77" spans="1:328" ht="30" customHeight="1">
      <c r="A77" s="2" t="s">
        <v>93</v>
      </c>
      <c r="B77" s="2" t="s">
        <v>94</v>
      </c>
      <c r="C77" s="2"/>
      <c r="D77" s="2" t="s">
        <v>95</v>
      </c>
      <c r="E77" s="5">
        <v>17.37</v>
      </c>
      <c r="F77" s="5">
        <v>17.350000000000001</v>
      </c>
      <c r="G77" s="5">
        <f t="shared" si="1"/>
        <v>17.36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>
        <v>17.359000000000002</v>
      </c>
      <c r="AH77" s="5">
        <v>17.358000000000001</v>
      </c>
      <c r="AI77" s="5">
        <v>17.359000000000002</v>
      </c>
      <c r="AJ77" s="5">
        <v>17.358000000000001</v>
      </c>
      <c r="AK77" s="5">
        <v>17.359000000000002</v>
      </c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>
        <v>17.359000000000002</v>
      </c>
      <c r="BQ77" s="5">
        <v>17.361999999999998</v>
      </c>
      <c r="BR77" s="5">
        <v>17.359000000000002</v>
      </c>
      <c r="BS77" s="5">
        <v>17.359000000000002</v>
      </c>
      <c r="BT77" s="5">
        <v>17.36</v>
      </c>
      <c r="BU77" s="5"/>
      <c r="BV77" s="5"/>
      <c r="BW77" s="5"/>
      <c r="BX77" s="5"/>
      <c r="BY77" s="5"/>
      <c r="BZ77" s="5">
        <v>17.359000000000002</v>
      </c>
      <c r="CA77" s="5">
        <v>17.359000000000002</v>
      </c>
      <c r="CB77" s="5">
        <v>17.36</v>
      </c>
      <c r="CC77" s="5">
        <v>17.361000000000001</v>
      </c>
      <c r="CD77" s="5">
        <v>17.36</v>
      </c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>
        <v>17.359000000000002</v>
      </c>
      <c r="CU77" s="5">
        <v>17.36</v>
      </c>
      <c r="CV77" s="5">
        <v>17.363</v>
      </c>
      <c r="CW77" s="5">
        <v>17.356999999999999</v>
      </c>
      <c r="CX77" s="5">
        <v>17.355</v>
      </c>
      <c r="CY77" s="5">
        <v>17.359000000000002</v>
      </c>
      <c r="CZ77" s="5">
        <v>17.359000000000002</v>
      </c>
      <c r="DA77" s="5">
        <v>17.36</v>
      </c>
      <c r="DB77" s="5">
        <v>17.359000000000002</v>
      </c>
      <c r="DC77" s="5">
        <v>17.359000000000002</v>
      </c>
      <c r="DD77" s="5">
        <v>17.36</v>
      </c>
      <c r="DE77" s="5">
        <v>17.358000000000001</v>
      </c>
      <c r="DF77" s="5">
        <v>17.359000000000002</v>
      </c>
      <c r="DG77" s="5">
        <v>17.361000000000001</v>
      </c>
      <c r="DH77" s="5">
        <v>17.359000000000002</v>
      </c>
      <c r="DI77" s="5">
        <v>17.359000000000002</v>
      </c>
      <c r="DJ77" s="5">
        <v>17.358000000000001</v>
      </c>
      <c r="DK77" s="5">
        <v>17.36</v>
      </c>
      <c r="DL77" s="5">
        <v>17.358000000000001</v>
      </c>
      <c r="DM77" s="5">
        <v>17.359000000000002</v>
      </c>
      <c r="DN77" s="5">
        <v>17.358000000000001</v>
      </c>
      <c r="DO77" s="5">
        <v>17.361000000000001</v>
      </c>
      <c r="DP77" s="5">
        <v>17.359000000000002</v>
      </c>
      <c r="DQ77" s="5">
        <v>17.359000000000002</v>
      </c>
      <c r="DR77" s="5">
        <v>17.359000000000002</v>
      </c>
      <c r="DS77" s="5">
        <v>17.359000000000002</v>
      </c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>
        <v>17.358000000000001</v>
      </c>
      <c r="HI77" s="5">
        <v>17.359000000000002</v>
      </c>
      <c r="HJ77" s="5">
        <v>17.358000000000001</v>
      </c>
      <c r="HK77" s="5">
        <v>17.36</v>
      </c>
      <c r="HL77" s="5">
        <v>17.358000000000001</v>
      </c>
      <c r="HM77" s="13">
        <v>17.358000000000001</v>
      </c>
      <c r="HN77" s="14">
        <v>17.359000000000002</v>
      </c>
      <c r="HO77" s="14">
        <v>17.36</v>
      </c>
      <c r="HP77" s="14">
        <v>17.358000000000001</v>
      </c>
      <c r="HQ77" s="14"/>
      <c r="HR77" s="14"/>
      <c r="HS77" s="14"/>
      <c r="HT77" s="14"/>
      <c r="HU77" s="14"/>
      <c r="HV77" s="14"/>
      <c r="HW77" s="14"/>
      <c r="HX77" s="11"/>
      <c r="HY77" s="11"/>
      <c r="HZ77" s="11"/>
      <c r="IA77" s="11"/>
      <c r="IB77" s="11"/>
      <c r="IC77" s="11"/>
      <c r="ID77" s="11"/>
      <c r="IE77" s="11"/>
      <c r="IF77" s="11"/>
      <c r="IG77" s="11"/>
      <c r="IH77" s="14">
        <v>17.356000000000002</v>
      </c>
      <c r="II77" s="14">
        <v>17.356999999999999</v>
      </c>
      <c r="IJ77" s="14">
        <v>17.364999999999998</v>
      </c>
      <c r="IK77" s="14">
        <v>17.353999999999999</v>
      </c>
      <c r="IL77" s="14">
        <v>17.350999999999999</v>
      </c>
      <c r="IM77" s="14"/>
      <c r="IN77" s="14"/>
      <c r="IO77" s="14"/>
      <c r="IP77" s="14"/>
      <c r="IQ77" s="14"/>
      <c r="IR77" s="14">
        <v>17.358000000000001</v>
      </c>
      <c r="IS77" s="14">
        <v>17.356999999999999</v>
      </c>
      <c r="IT77" s="14">
        <v>174.358</v>
      </c>
      <c r="IU77" s="14">
        <v>17.359000000000002</v>
      </c>
      <c r="IV77" s="14">
        <v>17.356999999999999</v>
      </c>
      <c r="IW77" s="14"/>
      <c r="IX77" s="14"/>
      <c r="IY77" s="14"/>
      <c r="IZ77" s="14"/>
      <c r="JA77" s="14"/>
      <c r="JB77" s="14">
        <v>17.36</v>
      </c>
      <c r="JC77" s="14">
        <v>17.361000000000001</v>
      </c>
      <c r="JD77" s="14">
        <v>17.309000000000001</v>
      </c>
      <c r="JE77" s="14">
        <v>17.361000000000001</v>
      </c>
      <c r="JF77" s="14">
        <v>17.361999999999998</v>
      </c>
      <c r="JG77" s="14">
        <v>17.358000000000001</v>
      </c>
      <c r="JH77" s="14">
        <v>17.361999999999998</v>
      </c>
      <c r="JI77" s="14">
        <v>17.36</v>
      </c>
      <c r="JJ77" s="14">
        <v>17.361000000000001</v>
      </c>
      <c r="JK77" s="14">
        <v>17.359000000000002</v>
      </c>
      <c r="JL77" s="14"/>
      <c r="JM77" s="14"/>
      <c r="JN77" s="14"/>
      <c r="JO77" s="14"/>
      <c r="JP77" s="14"/>
      <c r="JQ77" s="14">
        <v>17.361000000000001</v>
      </c>
      <c r="JR77" s="14">
        <v>17.36</v>
      </c>
      <c r="JS77" s="14">
        <v>17.361999999999998</v>
      </c>
      <c r="JT77" s="14">
        <v>17.361000000000001</v>
      </c>
      <c r="JU77" s="14">
        <v>17.36</v>
      </c>
      <c r="JV77" s="14">
        <v>17.361999999999998</v>
      </c>
      <c r="JW77" s="14">
        <v>17.361000000000001</v>
      </c>
      <c r="JX77" s="14">
        <v>17.363</v>
      </c>
      <c r="JY77" s="14">
        <v>17.36</v>
      </c>
      <c r="JZ77" s="14">
        <v>17.361000000000001</v>
      </c>
      <c r="KA77" s="14"/>
      <c r="KB77" s="14"/>
      <c r="KC77" s="14"/>
      <c r="KD77" s="14"/>
      <c r="KE77" s="14"/>
      <c r="KF77" s="14"/>
      <c r="KG77" s="14"/>
      <c r="KH77" s="14"/>
      <c r="KI77" s="14"/>
      <c r="KJ77" s="14"/>
      <c r="KK77" s="14"/>
      <c r="KL77" s="14"/>
      <c r="KM77" s="14"/>
      <c r="KN77" s="14"/>
      <c r="KO77" s="14"/>
      <c r="KP77" s="14"/>
      <c r="KQ77" s="14"/>
      <c r="KR77" s="14"/>
      <c r="KS77" s="14"/>
      <c r="KT77" s="14"/>
      <c r="KU77" s="14"/>
      <c r="KV77" s="14"/>
      <c r="KW77" s="14"/>
      <c r="KX77" s="14"/>
      <c r="KY77" s="14"/>
      <c r="KZ77" s="14"/>
      <c r="LA77" s="14"/>
      <c r="LB77" s="14"/>
      <c r="LC77" s="14"/>
      <c r="LD77" s="14"/>
      <c r="LE77" s="14"/>
      <c r="LF77" s="14"/>
      <c r="LG77" s="14"/>
      <c r="LH77" s="14"/>
      <c r="LI77" s="14"/>
    </row>
    <row r="78" spans="1:328" ht="30" customHeight="1">
      <c r="A78" s="2" t="s">
        <v>93</v>
      </c>
      <c r="B78" s="2" t="s">
        <v>96</v>
      </c>
      <c r="C78" s="2"/>
      <c r="D78" s="2" t="s">
        <v>92</v>
      </c>
      <c r="E78" s="5">
        <v>32.299999999999997</v>
      </c>
      <c r="F78" s="5">
        <v>32.25</v>
      </c>
      <c r="G78" s="5">
        <f t="shared" ref="G78" si="21">(E78+F78)/2</f>
        <v>32.274999999999999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>
        <v>32.259</v>
      </c>
      <c r="AH78" s="5">
        <v>32.262</v>
      </c>
      <c r="AI78" s="5">
        <v>32.265000000000001</v>
      </c>
      <c r="AJ78" s="5">
        <v>32.268000000000001</v>
      </c>
      <c r="AK78" s="5">
        <v>32.265999999999998</v>
      </c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13"/>
      <c r="HN78" s="14"/>
      <c r="HO78" s="14"/>
      <c r="HP78" s="14"/>
      <c r="HQ78" s="14"/>
      <c r="HR78" s="14"/>
      <c r="HS78" s="14"/>
      <c r="HT78" s="14"/>
      <c r="HU78" s="14"/>
      <c r="HV78" s="14"/>
      <c r="HW78" s="14"/>
      <c r="HX78" s="11"/>
      <c r="HY78" s="11"/>
      <c r="HZ78" s="11"/>
      <c r="IA78" s="11"/>
      <c r="IB78" s="11"/>
      <c r="IC78" s="11"/>
      <c r="ID78" s="11"/>
      <c r="IE78" s="11"/>
      <c r="IF78" s="11"/>
      <c r="IG78" s="11"/>
      <c r="IH78" s="14"/>
      <c r="II78" s="14"/>
      <c r="IJ78" s="14"/>
      <c r="IK78" s="14"/>
      <c r="IL78" s="14"/>
      <c r="IM78" s="14"/>
      <c r="IN78" s="14"/>
      <c r="IO78" s="14"/>
      <c r="IP78" s="14"/>
      <c r="IQ78" s="14"/>
      <c r="IR78" s="14"/>
      <c r="IS78" s="14"/>
      <c r="IT78" s="14"/>
      <c r="IU78" s="14"/>
      <c r="IV78" s="14"/>
      <c r="IW78" s="14"/>
      <c r="IX78" s="14"/>
      <c r="IY78" s="14"/>
      <c r="IZ78" s="14"/>
      <c r="JA78" s="14"/>
      <c r="JB78" s="14"/>
      <c r="JC78" s="14"/>
      <c r="JD78" s="14"/>
      <c r="JE78" s="14"/>
      <c r="JF78" s="14"/>
      <c r="JG78" s="14"/>
      <c r="JH78" s="14"/>
      <c r="JI78" s="14"/>
      <c r="JJ78" s="14"/>
      <c r="JK78" s="14"/>
      <c r="JL78" s="14"/>
      <c r="JM78" s="14"/>
      <c r="JN78" s="14"/>
      <c r="JO78" s="14"/>
      <c r="JP78" s="14"/>
      <c r="JQ78" s="14"/>
      <c r="JR78" s="14"/>
      <c r="JS78" s="14"/>
      <c r="JT78" s="14"/>
      <c r="JU78" s="14"/>
      <c r="JV78" s="14"/>
      <c r="JW78" s="14"/>
      <c r="JX78" s="14"/>
      <c r="JY78" s="14"/>
      <c r="JZ78" s="14"/>
      <c r="KA78" s="14"/>
      <c r="KB78" s="14"/>
      <c r="KC78" s="14"/>
      <c r="KD78" s="14"/>
      <c r="KE78" s="14"/>
      <c r="KF78" s="14"/>
      <c r="KG78" s="14"/>
      <c r="KH78" s="14"/>
      <c r="KI78" s="14"/>
      <c r="KJ78" s="14"/>
      <c r="KK78" s="14"/>
      <c r="KL78" s="14"/>
      <c r="KM78" s="14"/>
      <c r="KN78" s="14"/>
      <c r="KO78" s="14"/>
      <c r="KP78" s="14"/>
      <c r="KQ78" s="14"/>
      <c r="KR78" s="14"/>
      <c r="KS78" s="14"/>
      <c r="KT78" s="14"/>
      <c r="KU78" s="14"/>
      <c r="KV78" s="14"/>
      <c r="KW78" s="14"/>
      <c r="KX78" s="14"/>
      <c r="KY78" s="14"/>
      <c r="KZ78" s="14"/>
      <c r="LA78" s="14"/>
      <c r="LB78" s="14"/>
      <c r="LC78" s="14"/>
      <c r="LD78" s="14"/>
      <c r="LE78" s="14"/>
      <c r="LF78" s="14"/>
      <c r="LG78" s="14"/>
      <c r="LH78" s="14"/>
      <c r="LI78" s="14"/>
    </row>
  </sheetData>
  <mergeCells count="342">
    <mergeCell ref="HH7:HH8"/>
    <mergeCell ref="HI7:HI8"/>
    <mergeCell ref="HJ7:HJ8"/>
    <mergeCell ref="HK7:HK8"/>
    <mergeCell ref="DS6:HK6"/>
    <mergeCell ref="DS5:HK5"/>
    <mergeCell ref="DX7:DX8"/>
    <mergeCell ref="DY7:DY8"/>
    <mergeCell ref="DZ7:DZ8"/>
    <mergeCell ref="EA7:EA8"/>
    <mergeCell ref="EB7:EB8"/>
    <mergeCell ref="EC7:EC8"/>
    <mergeCell ref="ED7:ED8"/>
    <mergeCell ref="EE7:EE8"/>
    <mergeCell ref="EF7:EF8"/>
    <mergeCell ref="EG7:EG8"/>
    <mergeCell ref="DU7:DU8"/>
    <mergeCell ref="DV7:DV8"/>
    <mergeCell ref="DW7:DW8"/>
    <mergeCell ref="DN5:DR5"/>
    <mergeCell ref="DN6:DR6"/>
    <mergeCell ref="DN7:DN8"/>
    <mergeCell ref="DO7:DO8"/>
    <mergeCell ref="DP7:DP8"/>
    <mergeCell ref="DQ7:DQ8"/>
    <mergeCell ref="DR7:DR8"/>
    <mergeCell ref="DS7:DS8"/>
    <mergeCell ref="DT7:DT8"/>
    <mergeCell ref="DD5:DH5"/>
    <mergeCell ref="DI5:DM5"/>
    <mergeCell ref="DD6:DH6"/>
    <mergeCell ref="DI6:DM6"/>
    <mergeCell ref="DD7:DD8"/>
    <mergeCell ref="DE7:DE8"/>
    <mergeCell ref="DF7:DF8"/>
    <mergeCell ref="DG7:DG8"/>
    <mergeCell ref="DH7:DH8"/>
    <mergeCell ref="DI7:DI8"/>
    <mergeCell ref="DJ7:DJ8"/>
    <mergeCell ref="DK7:DK8"/>
    <mergeCell ref="DL7:DL8"/>
    <mergeCell ref="DM7:DM8"/>
    <mergeCell ref="CT5:CX5"/>
    <mergeCell ref="CY5:DC5"/>
    <mergeCell ref="CT6:CX6"/>
    <mergeCell ref="CY6:DC6"/>
    <mergeCell ref="CT7:CT8"/>
    <mergeCell ref="CU7:CU8"/>
    <mergeCell ref="CV7:CV8"/>
    <mergeCell ref="CW7:CW8"/>
    <mergeCell ref="CX7:CX8"/>
    <mergeCell ref="CY7:CY8"/>
    <mergeCell ref="CZ7:CZ8"/>
    <mergeCell ref="DA7:DA8"/>
    <mergeCell ref="DB7:DB8"/>
    <mergeCell ref="DC7:DC8"/>
    <mergeCell ref="BM7:BM8"/>
    <mergeCell ref="BN7:BN8"/>
    <mergeCell ref="BO7:BO8"/>
    <mergeCell ref="BU7:BU8"/>
    <mergeCell ref="BV7:BV8"/>
    <mergeCell ref="BW7:BW8"/>
    <mergeCell ref="CJ5:CN5"/>
    <mergeCell ref="CJ6:CN6"/>
    <mergeCell ref="CO5:CS5"/>
    <mergeCell ref="CO6:CS6"/>
    <mergeCell ref="CJ7:CJ8"/>
    <mergeCell ref="CK7:CK8"/>
    <mergeCell ref="CL7:CL8"/>
    <mergeCell ref="CM7:CM8"/>
    <mergeCell ref="CN7:CN8"/>
    <mergeCell ref="CO7:CO8"/>
    <mergeCell ref="CP7:CP8"/>
    <mergeCell ref="CQ7:CQ8"/>
    <mergeCell ref="CR7:CR8"/>
    <mergeCell ref="CS7:CS8"/>
    <mergeCell ref="AZ7:AZ8"/>
    <mergeCell ref="BA7:BA8"/>
    <mergeCell ref="BB7:BB8"/>
    <mergeCell ref="BC7:BC8"/>
    <mergeCell ref="BD7:BD8"/>
    <mergeCell ref="BE7:BE8"/>
    <mergeCell ref="CE5:CI5"/>
    <mergeCell ref="CE6:CI6"/>
    <mergeCell ref="CE7:CE8"/>
    <mergeCell ref="CF7:CF8"/>
    <mergeCell ref="CG7:CG8"/>
    <mergeCell ref="CH7:CH8"/>
    <mergeCell ref="CI7:CI8"/>
    <mergeCell ref="BF5:BJ5"/>
    <mergeCell ref="BK5:BO5"/>
    <mergeCell ref="BF6:BJ6"/>
    <mergeCell ref="BK6:BO6"/>
    <mergeCell ref="BF7:BF8"/>
    <mergeCell ref="BG7:BG8"/>
    <mergeCell ref="BH7:BH8"/>
    <mergeCell ref="BI7:BI8"/>
    <mergeCell ref="BJ7:BJ8"/>
    <mergeCell ref="BK7:BK8"/>
    <mergeCell ref="BL7:BL8"/>
    <mergeCell ref="A7:A8"/>
    <mergeCell ref="B7:B8"/>
    <mergeCell ref="C7:C8"/>
    <mergeCell ref="D7:D8"/>
    <mergeCell ref="E7:G7"/>
    <mergeCell ref="H7:H8"/>
    <mergeCell ref="BU5:BY5"/>
    <mergeCell ref="BU6:BY6"/>
    <mergeCell ref="CB7:CB8"/>
    <mergeCell ref="R7:R8"/>
    <mergeCell ref="S7:S8"/>
    <mergeCell ref="T7:T8"/>
    <mergeCell ref="BP7:BP8"/>
    <mergeCell ref="BQ7:BQ8"/>
    <mergeCell ref="BR7:BR8"/>
    <mergeCell ref="BS7:BS8"/>
    <mergeCell ref="BT7:BT8"/>
    <mergeCell ref="BZ7:BZ8"/>
    <mergeCell ref="CA7:CA8"/>
    <mergeCell ref="BX7:BX8"/>
    <mergeCell ref="BY7:BY8"/>
    <mergeCell ref="M7:M8"/>
    <mergeCell ref="N7:N8"/>
    <mergeCell ref="O7:O8"/>
    <mergeCell ref="W7:W8"/>
    <mergeCell ref="X7:X8"/>
    <mergeCell ref="Y7:Y8"/>
    <mergeCell ref="R5:V5"/>
    <mergeCell ref="W5:AA5"/>
    <mergeCell ref="R6:V6"/>
    <mergeCell ref="W6:AA6"/>
    <mergeCell ref="BP5:BT5"/>
    <mergeCell ref="BZ5:CD5"/>
    <mergeCell ref="BP6:BT6"/>
    <mergeCell ref="BZ6:CD6"/>
    <mergeCell ref="CC7:CC8"/>
    <mergeCell ref="CD7:CD8"/>
    <mergeCell ref="Z7:Z8"/>
    <mergeCell ref="AA7:AA8"/>
    <mergeCell ref="U7:U8"/>
    <mergeCell ref="AV5:AZ5"/>
    <mergeCell ref="BA5:BE5"/>
    <mergeCell ref="AV6:AZ6"/>
    <mergeCell ref="BA6:BE6"/>
    <mergeCell ref="AV7:AV8"/>
    <mergeCell ref="AW7:AW8"/>
    <mergeCell ref="AX7:AX8"/>
    <mergeCell ref="AY7:AY8"/>
    <mergeCell ref="H6:L6"/>
    <mergeCell ref="M6:Q6"/>
    <mergeCell ref="I7:I8"/>
    <mergeCell ref="J7:J8"/>
    <mergeCell ref="K7:K8"/>
    <mergeCell ref="L7:L8"/>
    <mergeCell ref="H5:L5"/>
    <mergeCell ref="M5:Q5"/>
    <mergeCell ref="V7:V8"/>
    <mergeCell ref="P7:P8"/>
    <mergeCell ref="Q7:Q8"/>
    <mergeCell ref="A1:D1"/>
    <mergeCell ref="E1:G1"/>
    <mergeCell ref="H1:K1"/>
    <mergeCell ref="L1:Q1"/>
    <mergeCell ref="HQ4:HT4"/>
    <mergeCell ref="BP1:BS1"/>
    <mergeCell ref="BT1:CD1"/>
    <mergeCell ref="AB1:AE1"/>
    <mergeCell ref="AL1:AO1"/>
    <mergeCell ref="AV1:AY1"/>
    <mergeCell ref="R1:U1"/>
    <mergeCell ref="V1:AA1"/>
    <mergeCell ref="BF1:BI1"/>
    <mergeCell ref="AB5:AF5"/>
    <mergeCell ref="AG5:AK5"/>
    <mergeCell ref="AB6:AF6"/>
    <mergeCell ref="AG6:AK6"/>
    <mergeCell ref="AB7:AB8"/>
    <mergeCell ref="AC7:AC8"/>
    <mergeCell ref="AD7:AD8"/>
    <mergeCell ref="AE7:AE8"/>
    <mergeCell ref="AF7:AF8"/>
    <mergeCell ref="AG7:AG8"/>
    <mergeCell ref="AH7:AH8"/>
    <mergeCell ref="AI7:AI8"/>
    <mergeCell ref="AJ7:AJ8"/>
    <mergeCell ref="AK7:AK8"/>
    <mergeCell ref="AL5:AP5"/>
    <mergeCell ref="AQ5:AU5"/>
    <mergeCell ref="AL6:AP6"/>
    <mergeCell ref="AQ6:AU6"/>
    <mergeCell ref="AL7:AL8"/>
    <mergeCell ref="AM7:AM8"/>
    <mergeCell ref="AN7:AN8"/>
    <mergeCell ref="AO7:AO8"/>
    <mergeCell ref="AP7:AP8"/>
    <mergeCell ref="AQ7:AQ8"/>
    <mergeCell ref="AR7:AR8"/>
    <mergeCell ref="AS7:AS8"/>
    <mergeCell ref="AT7:AT8"/>
    <mergeCell ref="AU7:AU8"/>
    <mergeCell ref="HL5:HP5"/>
    <mergeCell ref="HL6:HP6"/>
    <mergeCell ref="HL7:HL8"/>
    <mergeCell ref="HM7:HM8"/>
    <mergeCell ref="HN7:HN8"/>
    <mergeCell ref="HO7:HO8"/>
    <mergeCell ref="HP7:HP8"/>
    <mergeCell ref="HQ7:HQ8"/>
    <mergeCell ref="HR7:HR8"/>
    <mergeCell ref="HQ5:HW5"/>
    <mergeCell ref="HQ6:HW6"/>
    <mergeCell ref="HS7:HS8"/>
    <mergeCell ref="HT7:HT8"/>
    <mergeCell ref="HU7:HU8"/>
    <mergeCell ref="HV7:HV8"/>
    <mergeCell ref="HW7:HW8"/>
    <mergeCell ref="IH5:IL5"/>
    <mergeCell ref="IH6:IL6"/>
    <mergeCell ref="IH7:IH8"/>
    <mergeCell ref="II7:II8"/>
    <mergeCell ref="IJ7:IJ8"/>
    <mergeCell ref="IK7:IK8"/>
    <mergeCell ref="IL7:IL8"/>
    <mergeCell ref="HX5:IB5"/>
    <mergeCell ref="IC5:IG5"/>
    <mergeCell ref="HX6:IB6"/>
    <mergeCell ref="IC6:IG6"/>
    <mergeCell ref="HX7:HX8"/>
    <mergeCell ref="HY7:HY8"/>
    <mergeCell ref="HZ7:HZ8"/>
    <mergeCell ref="IA7:IA8"/>
    <mergeCell ref="IB7:IB8"/>
    <mergeCell ref="IC7:IC8"/>
    <mergeCell ref="ID7:ID8"/>
    <mergeCell ref="IE7:IE8"/>
    <mergeCell ref="IF7:IF8"/>
    <mergeCell ref="IG7:IG8"/>
    <mergeCell ref="IW6:JA6"/>
    <mergeCell ref="IR7:IR8"/>
    <mergeCell ref="IS7:IS8"/>
    <mergeCell ref="IT7:IT8"/>
    <mergeCell ref="IU7:IU8"/>
    <mergeCell ref="IV7:IV8"/>
    <mergeCell ref="IW7:IW8"/>
    <mergeCell ref="IX7:IX8"/>
    <mergeCell ref="IY7:IY8"/>
    <mergeCell ref="IZ7:IZ8"/>
    <mergeCell ref="JA7:JA8"/>
    <mergeCell ref="IM7:IM8"/>
    <mergeCell ref="IN7:IN8"/>
    <mergeCell ref="IO7:IO8"/>
    <mergeCell ref="IP7:IP8"/>
    <mergeCell ref="IQ7:IQ8"/>
    <mergeCell ref="IM5:IQ5"/>
    <mergeCell ref="IM6:IQ6"/>
    <mergeCell ref="JB5:JF5"/>
    <mergeCell ref="JG5:JK5"/>
    <mergeCell ref="JB6:JF6"/>
    <mergeCell ref="JG6:JK6"/>
    <mergeCell ref="JB7:JB8"/>
    <mergeCell ref="JC7:JC8"/>
    <mergeCell ref="JD7:JD8"/>
    <mergeCell ref="JE7:JE8"/>
    <mergeCell ref="JF7:JF8"/>
    <mergeCell ref="JG7:JG8"/>
    <mergeCell ref="JH7:JH8"/>
    <mergeCell ref="JI7:JI8"/>
    <mergeCell ref="JJ7:JJ8"/>
    <mergeCell ref="JK7:JK8"/>
    <mergeCell ref="IR5:IV5"/>
    <mergeCell ref="IW5:JA5"/>
    <mergeCell ref="IR6:IV6"/>
    <mergeCell ref="JL5:JP5"/>
    <mergeCell ref="JQ5:JU5"/>
    <mergeCell ref="JL6:JP6"/>
    <mergeCell ref="JQ6:JU6"/>
    <mergeCell ref="JL7:JL8"/>
    <mergeCell ref="JM7:JM8"/>
    <mergeCell ref="JN7:JN8"/>
    <mergeCell ref="JO7:JO8"/>
    <mergeCell ref="JP7:JP8"/>
    <mergeCell ref="JQ7:JQ8"/>
    <mergeCell ref="JR7:JR8"/>
    <mergeCell ref="JS7:JS8"/>
    <mergeCell ref="JT7:JT8"/>
    <mergeCell ref="JU7:JU8"/>
    <mergeCell ref="JV5:JZ5"/>
    <mergeCell ref="KA5:KE5"/>
    <mergeCell ref="JV6:JZ6"/>
    <mergeCell ref="KA6:KE6"/>
    <mergeCell ref="JV7:JV8"/>
    <mergeCell ref="JW7:JW8"/>
    <mergeCell ref="JX7:JX8"/>
    <mergeCell ref="JY7:JY8"/>
    <mergeCell ref="JZ7:JZ8"/>
    <mergeCell ref="KA7:KA8"/>
    <mergeCell ref="KB7:KB8"/>
    <mergeCell ref="KC7:KC8"/>
    <mergeCell ref="KD7:KD8"/>
    <mergeCell ref="KE7:KE8"/>
    <mergeCell ref="KF5:KJ5"/>
    <mergeCell ref="KK5:KO5"/>
    <mergeCell ref="KF6:KJ6"/>
    <mergeCell ref="KK6:KO6"/>
    <mergeCell ref="KF7:KF8"/>
    <mergeCell ref="KG7:KG8"/>
    <mergeCell ref="KH7:KH8"/>
    <mergeCell ref="KI7:KI8"/>
    <mergeCell ref="KJ7:KJ8"/>
    <mergeCell ref="KK7:KK8"/>
    <mergeCell ref="KL7:KL8"/>
    <mergeCell ref="KM7:KM8"/>
    <mergeCell ref="KN7:KN8"/>
    <mergeCell ref="KO7:KO8"/>
    <mergeCell ref="KP5:KT5"/>
    <mergeCell ref="KU5:KY5"/>
    <mergeCell ref="KP6:KT6"/>
    <mergeCell ref="KU6:KY6"/>
    <mergeCell ref="KP7:KP8"/>
    <mergeCell ref="KQ7:KQ8"/>
    <mergeCell ref="KR7:KR8"/>
    <mergeCell ref="KS7:KS8"/>
    <mergeCell ref="KX7:KX8"/>
    <mergeCell ref="KY7:KY8"/>
    <mergeCell ref="KT7:KT8"/>
    <mergeCell ref="KU7:KU8"/>
    <mergeCell ref="KV7:KV8"/>
    <mergeCell ref="KW7:KW8"/>
    <mergeCell ref="KZ5:LD5"/>
    <mergeCell ref="LE5:LI5"/>
    <mergeCell ref="KZ6:LD6"/>
    <mergeCell ref="LE6:LI6"/>
    <mergeCell ref="KZ7:KZ8"/>
    <mergeCell ref="LA7:LA8"/>
    <mergeCell ref="LB7:LB8"/>
    <mergeCell ref="LC7:LC8"/>
    <mergeCell ref="LD7:LD8"/>
    <mergeCell ref="LE7:LE8"/>
    <mergeCell ref="LF7:LF8"/>
    <mergeCell ref="LG7:LG8"/>
    <mergeCell ref="LH7:LH8"/>
    <mergeCell ref="LI7:LI8"/>
  </mergeCells>
  <conditionalFormatting sqref="H10:EE10">
    <cfRule type="cellIs" dxfId="9" priority="1" operator="between">
      <formula>82.02</formula>
      <formula>82.07</formula>
    </cfRule>
  </conditionalFormatting>
  <conditionalFormatting sqref="HT1:HT4 LP7:LP76">
    <cfRule type="cellIs" dxfId="8" priority="2" stopIfTrue="1" operator="lessThan">
      <formula>1.33</formula>
    </cfRule>
    <cfRule type="cellIs" dxfId="7" priority="3" stopIfTrue="1" operator="greaterThan">
      <formula>1.33</formula>
    </cfRule>
  </conditionalFormatting>
  <printOptions horizontalCentered="1" verticalCentered="1"/>
  <pageMargins left="0.19685039370078741" right="0.19685039370078741" top="0.19685039370078741" bottom="0.19685039370078741" header="0.31496062992125984" footer="0.31496062992125984"/>
  <pageSetup paperSize="8" scale="13" orientation="landscape" verticalDpi="300" r:id="rId1"/>
  <colBreaks count="1" manualBreakCount="1">
    <brk id="242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>
  <dimension ref="A1:LY83"/>
  <sheetViews>
    <sheetView tabSelected="1" workbookViewId="0">
      <selection activeCell="LR7" sqref="LR7"/>
    </sheetView>
  </sheetViews>
  <sheetFormatPr defaultRowHeight="15"/>
  <cols>
    <col min="1" max="1" width="12.7109375" customWidth="1"/>
    <col min="2" max="2" width="15" customWidth="1"/>
    <col min="3" max="3" width="12.42578125" customWidth="1"/>
    <col min="4" max="4" width="19" customWidth="1"/>
    <col min="5" max="5" width="11.85546875" customWidth="1"/>
    <col min="6" max="6" width="10.28515625" customWidth="1"/>
    <col min="7" max="7" width="12" customWidth="1"/>
    <col min="8" max="11" width="0" hidden="1" customWidth="1"/>
    <col min="12" max="12" width="8.28515625" hidden="1" customWidth="1"/>
    <col min="13" max="13" width="7.7109375" hidden="1" customWidth="1"/>
    <col min="14" max="14" width="8.42578125" hidden="1" customWidth="1"/>
    <col min="15" max="15" width="7.42578125" hidden="1" customWidth="1"/>
    <col min="16" max="16" width="8" hidden="1" customWidth="1"/>
    <col min="17" max="18" width="7.7109375" hidden="1" customWidth="1"/>
    <col min="19" max="19" width="8" hidden="1" customWidth="1"/>
    <col min="20" max="20" width="8.28515625" hidden="1" customWidth="1"/>
    <col min="21" max="21" width="8.42578125" hidden="1" customWidth="1"/>
    <col min="22" max="22" width="7.85546875" hidden="1" customWidth="1"/>
    <col min="23" max="23" width="7.7109375" hidden="1" customWidth="1"/>
    <col min="24" max="24" width="8.7109375" hidden="1" customWidth="1"/>
    <col min="25" max="25" width="8.140625" hidden="1" customWidth="1"/>
    <col min="26" max="26" width="7.42578125" hidden="1" customWidth="1"/>
    <col min="27" max="27" width="8.42578125" hidden="1" customWidth="1"/>
    <col min="28" max="28" width="8" hidden="1" customWidth="1"/>
    <col min="29" max="32" width="8.42578125" hidden="1" customWidth="1"/>
    <col min="33" max="33" width="8.28515625" hidden="1" customWidth="1"/>
    <col min="34" max="34" width="8" hidden="1" customWidth="1"/>
    <col min="35" max="35" width="8.140625" hidden="1" customWidth="1"/>
    <col min="36" max="36" width="8.7109375" hidden="1" customWidth="1"/>
    <col min="37" max="37" width="8.42578125" hidden="1" customWidth="1"/>
    <col min="38" max="38" width="8.7109375" hidden="1" customWidth="1"/>
    <col min="39" max="39" width="7.85546875" hidden="1" customWidth="1"/>
    <col min="40" max="40" width="8.42578125" hidden="1" customWidth="1"/>
    <col min="41" max="41" width="8" hidden="1" customWidth="1"/>
    <col min="42" max="42" width="8.42578125" hidden="1" customWidth="1"/>
    <col min="43" max="43" width="8.28515625" hidden="1" customWidth="1"/>
    <col min="44" max="44" width="8" hidden="1" customWidth="1"/>
    <col min="45" max="45" width="8.140625" hidden="1" customWidth="1"/>
    <col min="46" max="46" width="8.7109375" hidden="1" customWidth="1"/>
    <col min="47" max="47" width="8.42578125" hidden="1" customWidth="1"/>
    <col min="48" max="48" width="8.7109375" hidden="1" customWidth="1"/>
    <col min="49" max="49" width="7.85546875" hidden="1" customWidth="1"/>
    <col min="50" max="50" width="8.42578125" hidden="1" customWidth="1"/>
    <col min="51" max="51" width="7.85546875" hidden="1" customWidth="1"/>
    <col min="52" max="52" width="8.42578125" hidden="1" customWidth="1"/>
    <col min="53" max="53" width="8.28515625" hidden="1" customWidth="1"/>
    <col min="54" max="54" width="8" hidden="1" customWidth="1"/>
    <col min="55" max="55" width="8.140625" hidden="1" customWidth="1"/>
    <col min="56" max="56" width="8.7109375" hidden="1" customWidth="1"/>
    <col min="57" max="57" width="8.42578125" hidden="1" customWidth="1"/>
    <col min="58" max="58" width="8.7109375" hidden="1" customWidth="1"/>
    <col min="59" max="59" width="7.85546875" hidden="1" customWidth="1"/>
    <col min="60" max="60" width="8.42578125" hidden="1" customWidth="1"/>
    <col min="61" max="61" width="7.85546875" hidden="1" customWidth="1"/>
    <col min="62" max="62" width="8.42578125" hidden="1" customWidth="1"/>
    <col min="63" max="63" width="8.28515625" hidden="1" customWidth="1"/>
    <col min="64" max="64" width="8" hidden="1" customWidth="1"/>
    <col min="65" max="65" width="8.140625" hidden="1" customWidth="1"/>
    <col min="66" max="66" width="8.7109375" hidden="1" customWidth="1"/>
    <col min="67" max="67" width="8.42578125" hidden="1" customWidth="1"/>
    <col min="68" max="68" width="8.7109375" hidden="1" customWidth="1"/>
    <col min="69" max="69" width="7.85546875" hidden="1" customWidth="1"/>
    <col min="70" max="70" width="8.42578125" hidden="1" customWidth="1"/>
    <col min="71" max="71" width="7.85546875" hidden="1" customWidth="1"/>
    <col min="72" max="72" width="8.42578125" hidden="1" customWidth="1"/>
    <col min="73" max="73" width="8.28515625" hidden="1" customWidth="1"/>
    <col min="74" max="74" width="8" hidden="1" customWidth="1"/>
    <col min="75" max="75" width="8.140625" hidden="1" customWidth="1"/>
    <col min="76" max="76" width="8.7109375" hidden="1" customWidth="1"/>
    <col min="77" max="77" width="8.42578125" hidden="1" customWidth="1"/>
    <col min="78" max="78" width="8.7109375" hidden="1" customWidth="1"/>
    <col min="79" max="79" width="7.85546875" hidden="1" customWidth="1"/>
    <col min="80" max="80" width="8.42578125" hidden="1" customWidth="1"/>
    <col min="81" max="121" width="7.85546875" hidden="1" customWidth="1"/>
    <col min="122" max="123" width="8.7109375" hidden="1" customWidth="1"/>
    <col min="124" max="126" width="7.85546875" hidden="1" customWidth="1"/>
    <col min="127" max="127" width="8.7109375" hidden="1" customWidth="1"/>
    <col min="128" max="219" width="7.85546875" hidden="1" customWidth="1"/>
    <col min="220" max="220" width="8.5703125" hidden="1" customWidth="1"/>
    <col min="221" max="225" width="8.7109375" hidden="1" customWidth="1"/>
    <col min="226" max="226" width="8.140625" hidden="1" customWidth="1"/>
    <col min="227" max="229" width="8.7109375" hidden="1" customWidth="1"/>
    <col min="230" max="231" width="9.140625" hidden="1" customWidth="1"/>
    <col min="232" max="233" width="8.7109375" hidden="1" customWidth="1"/>
    <col min="234" max="238" width="9.140625" hidden="1" customWidth="1"/>
    <col min="239" max="328" width="0" hidden="1" customWidth="1"/>
  </cols>
  <sheetData>
    <row r="1" spans="1:337">
      <c r="A1" s="35" t="s">
        <v>0</v>
      </c>
      <c r="B1" s="35"/>
      <c r="C1" s="35"/>
      <c r="D1" s="35"/>
      <c r="E1" s="35"/>
      <c r="F1" s="35"/>
      <c r="G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19"/>
      <c r="AK1" s="19"/>
      <c r="AL1" s="19"/>
      <c r="AM1" s="19"/>
      <c r="AN1" s="19"/>
      <c r="AO1" s="19"/>
      <c r="AP1" s="35"/>
      <c r="AQ1" s="35"/>
      <c r="AR1" s="35"/>
      <c r="AS1" s="35"/>
      <c r="AT1" s="19"/>
      <c r="AU1" s="19"/>
      <c r="AV1" s="19"/>
      <c r="AW1" s="19"/>
      <c r="AX1" s="19"/>
      <c r="AY1" s="19"/>
      <c r="AZ1" s="35"/>
      <c r="BA1" s="35"/>
      <c r="BB1" s="35"/>
      <c r="BC1" s="35"/>
      <c r="BD1" s="19"/>
      <c r="BE1" s="19"/>
      <c r="BF1" s="19"/>
      <c r="BG1" s="19"/>
      <c r="BH1" s="19"/>
      <c r="BI1" s="19"/>
      <c r="BJ1" s="35"/>
      <c r="BK1" s="35"/>
      <c r="BL1" s="35"/>
      <c r="BM1" s="35"/>
      <c r="BN1" s="19"/>
      <c r="BO1" s="19"/>
      <c r="BP1" s="19"/>
      <c r="BQ1" s="19"/>
      <c r="BR1" s="19"/>
      <c r="BS1" s="19"/>
      <c r="BT1" s="35"/>
      <c r="BU1" s="35"/>
      <c r="BV1" s="35"/>
      <c r="BW1" s="35"/>
      <c r="BX1" s="35"/>
      <c r="BY1" s="35"/>
      <c r="BZ1" s="35"/>
      <c r="CA1" s="35"/>
      <c r="CB1" s="35"/>
      <c r="CC1" s="35"/>
      <c r="CD1" s="35"/>
      <c r="CE1" s="35"/>
      <c r="CF1" s="35"/>
      <c r="CG1" s="35"/>
      <c r="CH1" s="35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</row>
    <row r="2" spans="1:337">
      <c r="A2" s="19" t="s">
        <v>1</v>
      </c>
      <c r="B2" s="19" t="s">
        <v>2</v>
      </c>
      <c r="C2" s="19"/>
      <c r="D2" s="19"/>
      <c r="E2" s="19"/>
      <c r="F2" s="19"/>
      <c r="G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9"/>
      <c r="EY2" s="19"/>
      <c r="EZ2" s="19"/>
      <c r="FA2" s="19"/>
      <c r="FB2" s="19"/>
      <c r="FC2" s="19"/>
      <c r="FD2" s="19"/>
      <c r="FE2" s="19"/>
      <c r="FF2" s="19"/>
      <c r="FG2" s="19"/>
      <c r="FH2" s="19"/>
      <c r="FI2" s="19"/>
      <c r="FJ2" s="19"/>
      <c r="FK2" s="19"/>
      <c r="FL2" s="19"/>
      <c r="FM2" s="19"/>
      <c r="FN2" s="19"/>
      <c r="FO2" s="19"/>
      <c r="FP2" s="19"/>
      <c r="FQ2" s="19"/>
      <c r="FR2" s="19"/>
      <c r="FS2" s="19"/>
      <c r="FT2" s="19"/>
      <c r="FU2" s="19"/>
      <c r="FV2" s="19"/>
      <c r="FW2" s="19"/>
      <c r="FX2" s="19"/>
      <c r="FY2" s="19"/>
      <c r="FZ2" s="19"/>
      <c r="GA2" s="19"/>
      <c r="GB2" s="19"/>
      <c r="GC2" s="19"/>
      <c r="GD2" s="19"/>
      <c r="GE2" s="19"/>
      <c r="GF2" s="19"/>
      <c r="GG2" s="19"/>
      <c r="GH2" s="19"/>
      <c r="GI2" s="19"/>
      <c r="GJ2" s="19"/>
      <c r="GK2" s="19"/>
      <c r="GL2" s="19"/>
      <c r="GM2" s="19"/>
      <c r="GN2" s="19"/>
      <c r="GO2" s="19"/>
      <c r="GP2" s="19"/>
      <c r="GQ2" s="19"/>
      <c r="GR2" s="19"/>
      <c r="GS2" s="19"/>
      <c r="GT2" s="19"/>
      <c r="GU2" s="19"/>
      <c r="GV2" s="19"/>
      <c r="GW2" s="19"/>
      <c r="GX2" s="19"/>
      <c r="GY2" s="19"/>
      <c r="GZ2" s="19"/>
      <c r="HA2" s="19"/>
      <c r="HB2" s="19"/>
      <c r="HC2" s="19"/>
      <c r="HD2" s="19"/>
      <c r="HE2" s="19"/>
      <c r="HF2" s="19"/>
      <c r="HG2" s="19"/>
      <c r="HH2" s="19"/>
      <c r="HI2" s="19"/>
      <c r="HJ2" s="19"/>
      <c r="HK2" s="19"/>
      <c r="HL2" s="19"/>
      <c r="HM2" s="19"/>
      <c r="HN2" s="19"/>
      <c r="HO2" s="19"/>
      <c r="HP2" s="19"/>
      <c r="HQ2" s="19"/>
      <c r="HR2" s="19"/>
      <c r="HS2" s="19"/>
      <c r="HT2" s="19"/>
      <c r="HU2" s="19"/>
      <c r="HV2" s="19"/>
      <c r="HW2" s="19"/>
      <c r="HX2" s="19"/>
    </row>
    <row r="3" spans="1:337">
      <c r="A3" s="19" t="s">
        <v>3</v>
      </c>
      <c r="B3" s="19" t="s">
        <v>4</v>
      </c>
      <c r="C3" s="19"/>
      <c r="D3" s="19"/>
      <c r="E3" s="19"/>
      <c r="F3" s="19"/>
      <c r="G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  <c r="FH3" s="19"/>
      <c r="FI3" s="19"/>
      <c r="FJ3" s="19"/>
      <c r="FK3" s="19"/>
      <c r="FL3" s="19"/>
      <c r="FM3" s="19"/>
      <c r="FN3" s="19"/>
      <c r="FO3" s="19"/>
      <c r="FP3" s="19"/>
      <c r="FQ3" s="19"/>
      <c r="FR3" s="19"/>
      <c r="FS3" s="19"/>
      <c r="FT3" s="19"/>
      <c r="FU3" s="19"/>
      <c r="FV3" s="19"/>
      <c r="FW3" s="19"/>
      <c r="FX3" s="19"/>
      <c r="FY3" s="19"/>
      <c r="FZ3" s="19"/>
      <c r="GA3" s="19"/>
      <c r="GB3" s="19"/>
      <c r="GC3" s="19"/>
      <c r="GD3" s="19"/>
      <c r="GE3" s="19"/>
      <c r="GF3" s="19"/>
      <c r="GG3" s="19"/>
      <c r="GH3" s="19"/>
      <c r="GI3" s="19"/>
      <c r="GJ3" s="19"/>
      <c r="GK3" s="19"/>
      <c r="GL3" s="19"/>
      <c r="GM3" s="19"/>
      <c r="GN3" s="19"/>
      <c r="GO3" s="19"/>
      <c r="GP3" s="19"/>
      <c r="GQ3" s="19"/>
      <c r="GR3" s="19"/>
      <c r="GS3" s="19"/>
      <c r="GT3" s="19"/>
      <c r="GU3" s="19"/>
      <c r="GV3" s="19"/>
      <c r="GW3" s="19"/>
      <c r="GX3" s="19"/>
      <c r="GY3" s="19"/>
      <c r="GZ3" s="19"/>
      <c r="HA3" s="19"/>
      <c r="HB3" s="19"/>
      <c r="HC3" s="19"/>
      <c r="HD3" s="19"/>
      <c r="HE3" s="19"/>
      <c r="HF3" s="19"/>
      <c r="HG3" s="19"/>
      <c r="HH3" s="19"/>
      <c r="HI3" s="19"/>
      <c r="HJ3" s="19"/>
      <c r="HK3" s="19"/>
      <c r="HL3" s="19"/>
      <c r="HM3" s="19"/>
      <c r="HN3" s="19"/>
      <c r="HO3" s="19"/>
      <c r="HP3" s="19"/>
      <c r="HQ3" s="19"/>
      <c r="HR3" s="19"/>
      <c r="HS3" s="19"/>
      <c r="HT3" s="19"/>
      <c r="HU3" s="19"/>
      <c r="HV3" s="19"/>
      <c r="HW3" s="19"/>
      <c r="HX3" s="19"/>
    </row>
    <row r="4" spans="1:337">
      <c r="A4" s="19" t="s">
        <v>5</v>
      </c>
      <c r="B4" s="19" t="s">
        <v>6</v>
      </c>
      <c r="C4" s="19" t="s">
        <v>7</v>
      </c>
      <c r="D4" s="19"/>
      <c r="E4" s="19"/>
      <c r="F4" s="19"/>
      <c r="G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/>
      <c r="EQ4" s="19"/>
      <c r="ER4" s="19"/>
      <c r="ES4" s="19"/>
      <c r="ET4" s="19"/>
      <c r="EU4" s="19"/>
      <c r="EV4" s="19"/>
      <c r="EW4" s="19"/>
      <c r="EX4" s="19"/>
      <c r="EY4" s="19"/>
      <c r="EZ4" s="19"/>
      <c r="FA4" s="19"/>
      <c r="FB4" s="19"/>
      <c r="FC4" s="19"/>
      <c r="FD4" s="19"/>
      <c r="FE4" s="19"/>
      <c r="FF4" s="19"/>
      <c r="FG4" s="19"/>
      <c r="FH4" s="19"/>
      <c r="FI4" s="19"/>
      <c r="FJ4" s="19"/>
      <c r="FK4" s="19"/>
      <c r="FL4" s="19"/>
      <c r="FM4" s="19"/>
      <c r="FN4" s="19"/>
      <c r="FO4" s="19"/>
      <c r="FP4" s="19"/>
      <c r="FQ4" s="19"/>
      <c r="FR4" s="19"/>
      <c r="FS4" s="19"/>
      <c r="FT4" s="19"/>
      <c r="FU4" s="19"/>
      <c r="FV4" s="19"/>
      <c r="FW4" s="19"/>
      <c r="FX4" s="19"/>
      <c r="FY4" s="19"/>
      <c r="FZ4" s="19"/>
      <c r="GA4" s="19"/>
      <c r="GB4" s="19"/>
      <c r="GC4" s="19"/>
      <c r="GD4" s="19"/>
      <c r="GE4" s="19"/>
      <c r="GF4" s="19"/>
      <c r="GG4" s="19"/>
      <c r="GH4" s="19"/>
      <c r="GI4" s="19"/>
      <c r="GJ4" s="19"/>
      <c r="GK4" s="19"/>
      <c r="GL4" s="19"/>
      <c r="GM4" s="19"/>
      <c r="GN4" s="19"/>
      <c r="GO4" s="19"/>
      <c r="GP4" s="19"/>
      <c r="GQ4" s="19"/>
      <c r="GR4" s="19"/>
      <c r="GS4" s="19"/>
      <c r="GT4" s="19"/>
      <c r="GU4" s="19"/>
      <c r="GV4" s="19"/>
      <c r="GW4" s="19"/>
      <c r="GX4" s="19"/>
      <c r="GY4" s="19"/>
      <c r="GZ4" s="19"/>
      <c r="HA4" s="19"/>
      <c r="HB4" s="19"/>
      <c r="HC4" s="19"/>
      <c r="HD4" s="19"/>
      <c r="HE4" s="19"/>
      <c r="HF4" s="19"/>
      <c r="HG4" s="19"/>
      <c r="HH4" s="19"/>
      <c r="HI4" s="19"/>
      <c r="HJ4" s="19"/>
      <c r="HK4" s="19"/>
      <c r="HL4" s="19"/>
      <c r="HM4" s="19"/>
      <c r="HN4" s="19"/>
      <c r="HO4" s="19"/>
      <c r="HP4" s="19"/>
      <c r="HQ4" s="19"/>
      <c r="HR4" s="19"/>
      <c r="HS4" s="19"/>
      <c r="HT4" s="19"/>
      <c r="HU4" s="36"/>
      <c r="HV4" s="36"/>
      <c r="HW4" s="36"/>
      <c r="HX4" s="36"/>
    </row>
    <row r="5" spans="1:337">
      <c r="A5" s="19"/>
      <c r="B5" s="19"/>
      <c r="C5" s="19"/>
      <c r="D5" s="19"/>
      <c r="E5" s="19"/>
      <c r="F5" s="19"/>
      <c r="H5" s="20"/>
      <c r="I5" s="20"/>
      <c r="J5" s="20"/>
      <c r="K5" s="20"/>
      <c r="L5" s="37" t="s">
        <v>99</v>
      </c>
      <c r="M5" s="38"/>
      <c r="N5" s="38"/>
      <c r="O5" s="38"/>
      <c r="P5" s="39"/>
      <c r="Q5" s="37" t="s">
        <v>99</v>
      </c>
      <c r="R5" s="38"/>
      <c r="S5" s="38"/>
      <c r="T5" s="38"/>
      <c r="U5" s="39"/>
      <c r="V5" s="37" t="s">
        <v>98</v>
      </c>
      <c r="W5" s="38"/>
      <c r="X5" s="38"/>
      <c r="Y5" s="38"/>
      <c r="Z5" s="39"/>
      <c r="AA5" s="37" t="s">
        <v>98</v>
      </c>
      <c r="AB5" s="38"/>
      <c r="AC5" s="38"/>
      <c r="AD5" s="38"/>
      <c r="AE5" s="39"/>
      <c r="AF5" s="37" t="s">
        <v>97</v>
      </c>
      <c r="AG5" s="38"/>
      <c r="AH5" s="38"/>
      <c r="AI5" s="38"/>
      <c r="AJ5" s="39"/>
      <c r="AK5" s="37" t="s">
        <v>97</v>
      </c>
      <c r="AL5" s="38"/>
      <c r="AM5" s="38"/>
      <c r="AN5" s="38"/>
      <c r="AO5" s="39"/>
      <c r="AP5" s="37" t="s">
        <v>100</v>
      </c>
      <c r="AQ5" s="38"/>
      <c r="AR5" s="38"/>
      <c r="AS5" s="38"/>
      <c r="AT5" s="39"/>
      <c r="AU5" s="37" t="s">
        <v>100</v>
      </c>
      <c r="AV5" s="38"/>
      <c r="AW5" s="38"/>
      <c r="AX5" s="38"/>
      <c r="AY5" s="39"/>
      <c r="AZ5" s="37" t="s">
        <v>103</v>
      </c>
      <c r="BA5" s="38"/>
      <c r="BB5" s="38"/>
      <c r="BC5" s="38"/>
      <c r="BD5" s="39"/>
      <c r="BE5" s="37" t="s">
        <v>103</v>
      </c>
      <c r="BF5" s="38"/>
      <c r="BG5" s="38"/>
      <c r="BH5" s="38"/>
      <c r="BI5" s="39"/>
      <c r="BJ5" s="37" t="s">
        <v>104</v>
      </c>
      <c r="BK5" s="38"/>
      <c r="BL5" s="38"/>
      <c r="BM5" s="38"/>
      <c r="BN5" s="39"/>
      <c r="BO5" s="37" t="s">
        <v>104</v>
      </c>
      <c r="BP5" s="38"/>
      <c r="BQ5" s="38"/>
      <c r="BR5" s="38"/>
      <c r="BS5" s="39"/>
      <c r="BT5" s="37" t="s">
        <v>105</v>
      </c>
      <c r="BU5" s="38"/>
      <c r="BV5" s="38"/>
      <c r="BW5" s="38"/>
      <c r="BX5" s="39"/>
      <c r="BY5" s="37" t="s">
        <v>105</v>
      </c>
      <c r="BZ5" s="38"/>
      <c r="CA5" s="38"/>
      <c r="CB5" s="38"/>
      <c r="CC5" s="39"/>
      <c r="CD5" s="37" t="s">
        <v>107</v>
      </c>
      <c r="CE5" s="38"/>
      <c r="CF5" s="38"/>
      <c r="CG5" s="38"/>
      <c r="CH5" s="39"/>
      <c r="CI5" s="37" t="s">
        <v>107</v>
      </c>
      <c r="CJ5" s="38"/>
      <c r="CK5" s="38"/>
      <c r="CL5" s="38"/>
      <c r="CM5" s="39"/>
      <c r="CN5" s="37" t="s">
        <v>108</v>
      </c>
      <c r="CO5" s="38"/>
      <c r="CP5" s="38"/>
      <c r="CQ5" s="38"/>
      <c r="CR5" s="39"/>
      <c r="CS5" s="37" t="s">
        <v>108</v>
      </c>
      <c r="CT5" s="38"/>
      <c r="CU5" s="38"/>
      <c r="CV5" s="38"/>
      <c r="CW5" s="39"/>
      <c r="CX5" s="37" t="s">
        <v>109</v>
      </c>
      <c r="CY5" s="38"/>
      <c r="CZ5" s="38"/>
      <c r="DA5" s="38"/>
      <c r="DB5" s="39"/>
      <c r="DC5" s="37" t="s">
        <v>109</v>
      </c>
      <c r="DD5" s="38"/>
      <c r="DE5" s="38"/>
      <c r="DF5" s="38"/>
      <c r="DG5" s="39"/>
      <c r="DH5" s="37" t="s">
        <v>110</v>
      </c>
      <c r="DI5" s="38"/>
      <c r="DJ5" s="38"/>
      <c r="DK5" s="38"/>
      <c r="DL5" s="39"/>
      <c r="DM5" s="37" t="s">
        <v>110</v>
      </c>
      <c r="DN5" s="38"/>
      <c r="DO5" s="38"/>
      <c r="DP5" s="38"/>
      <c r="DQ5" s="39"/>
      <c r="DR5" s="37" t="s">
        <v>111</v>
      </c>
      <c r="DS5" s="38"/>
      <c r="DT5" s="38"/>
      <c r="DU5" s="38"/>
      <c r="DV5" s="39"/>
      <c r="DW5" s="37" t="s">
        <v>111</v>
      </c>
      <c r="DX5" s="38"/>
      <c r="DY5" s="38"/>
      <c r="DZ5" s="38"/>
      <c r="EA5" s="38"/>
      <c r="EB5" s="38"/>
      <c r="EC5" s="38"/>
      <c r="ED5" s="38"/>
      <c r="EE5" s="38"/>
      <c r="EF5" s="38"/>
      <c r="EG5" s="38"/>
      <c r="EH5" s="38"/>
      <c r="EI5" s="38"/>
      <c r="EJ5" s="38"/>
      <c r="EK5" s="38"/>
      <c r="EL5" s="38"/>
      <c r="EM5" s="38"/>
      <c r="EN5" s="38"/>
      <c r="EO5" s="38"/>
      <c r="EP5" s="38"/>
      <c r="EQ5" s="38"/>
      <c r="ER5" s="38"/>
      <c r="ES5" s="38"/>
      <c r="ET5" s="38"/>
      <c r="EU5" s="38"/>
      <c r="EV5" s="38"/>
      <c r="EW5" s="38"/>
      <c r="EX5" s="38"/>
      <c r="EY5" s="38"/>
      <c r="EZ5" s="38"/>
      <c r="FA5" s="38"/>
      <c r="FB5" s="38"/>
      <c r="FC5" s="38"/>
      <c r="FD5" s="38"/>
      <c r="FE5" s="38"/>
      <c r="FF5" s="38"/>
      <c r="FG5" s="38"/>
      <c r="FH5" s="38"/>
      <c r="FI5" s="38"/>
      <c r="FJ5" s="38"/>
      <c r="FK5" s="38"/>
      <c r="FL5" s="38"/>
      <c r="FM5" s="38"/>
      <c r="FN5" s="38"/>
      <c r="FO5" s="38"/>
      <c r="FP5" s="38"/>
      <c r="FQ5" s="38"/>
      <c r="FR5" s="38"/>
      <c r="FS5" s="38"/>
      <c r="FT5" s="38"/>
      <c r="FU5" s="38"/>
      <c r="FV5" s="38"/>
      <c r="FW5" s="38"/>
      <c r="FX5" s="38"/>
      <c r="FY5" s="38"/>
      <c r="FZ5" s="38"/>
      <c r="GA5" s="38"/>
      <c r="GB5" s="38"/>
      <c r="GC5" s="38"/>
      <c r="GD5" s="38"/>
      <c r="GE5" s="38"/>
      <c r="GF5" s="38"/>
      <c r="GG5" s="38"/>
      <c r="GH5" s="38"/>
      <c r="GI5" s="38"/>
      <c r="GJ5" s="38"/>
      <c r="GK5" s="38"/>
      <c r="GL5" s="38"/>
      <c r="GM5" s="38"/>
      <c r="GN5" s="38"/>
      <c r="GO5" s="38"/>
      <c r="GP5" s="38"/>
      <c r="GQ5" s="38"/>
      <c r="GR5" s="38"/>
      <c r="GS5" s="38"/>
      <c r="GT5" s="38"/>
      <c r="GU5" s="38"/>
      <c r="GV5" s="38"/>
      <c r="GW5" s="38"/>
      <c r="GX5" s="38"/>
      <c r="GY5" s="38"/>
      <c r="GZ5" s="38"/>
      <c r="HA5" s="38"/>
      <c r="HB5" s="38"/>
      <c r="HC5" s="38"/>
      <c r="HD5" s="38"/>
      <c r="HE5" s="38"/>
      <c r="HF5" s="38"/>
      <c r="HG5" s="38"/>
      <c r="HH5" s="38"/>
      <c r="HI5" s="38"/>
      <c r="HJ5" s="38"/>
      <c r="HK5" s="38"/>
      <c r="HL5" s="38"/>
      <c r="HM5" s="38"/>
      <c r="HN5" s="38"/>
      <c r="HO5" s="39"/>
      <c r="HP5" s="37" t="s">
        <v>112</v>
      </c>
      <c r="HQ5" s="38"/>
      <c r="HR5" s="38"/>
      <c r="HS5" s="38"/>
      <c r="HT5" s="39"/>
      <c r="HU5" s="44" t="s">
        <v>112</v>
      </c>
      <c r="HV5" s="44"/>
      <c r="HW5" s="44"/>
      <c r="HX5" s="44"/>
      <c r="HY5" s="44"/>
      <c r="HZ5" s="44"/>
      <c r="IA5" s="44"/>
      <c r="IB5" s="37" t="s">
        <v>114</v>
      </c>
      <c r="IC5" s="38"/>
      <c r="ID5" s="38"/>
      <c r="IE5" s="38"/>
      <c r="IF5" s="39"/>
      <c r="IG5" s="37" t="s">
        <v>114</v>
      </c>
      <c r="IH5" s="38"/>
      <c r="II5" s="38"/>
      <c r="IJ5" s="38"/>
      <c r="IK5" s="38"/>
      <c r="IL5" s="37" t="s">
        <v>113</v>
      </c>
      <c r="IM5" s="38"/>
      <c r="IN5" s="38"/>
      <c r="IO5" s="38"/>
      <c r="IP5" s="39"/>
      <c r="IQ5" s="37" t="s">
        <v>113</v>
      </c>
      <c r="IR5" s="38"/>
      <c r="IS5" s="38"/>
      <c r="IT5" s="38"/>
      <c r="IU5" s="38"/>
      <c r="IV5" s="37" t="s">
        <v>115</v>
      </c>
      <c r="IW5" s="38"/>
      <c r="IX5" s="38"/>
      <c r="IY5" s="38"/>
      <c r="IZ5" s="39"/>
      <c r="JA5" s="37" t="s">
        <v>115</v>
      </c>
      <c r="JB5" s="38"/>
      <c r="JC5" s="38"/>
      <c r="JD5" s="38"/>
      <c r="JE5" s="38"/>
      <c r="JF5" s="37" t="s">
        <v>116</v>
      </c>
      <c r="JG5" s="38"/>
      <c r="JH5" s="38"/>
      <c r="JI5" s="38"/>
      <c r="JJ5" s="39"/>
      <c r="JK5" s="37" t="s">
        <v>116</v>
      </c>
      <c r="JL5" s="38"/>
      <c r="JM5" s="38"/>
      <c r="JN5" s="38"/>
      <c r="JO5" s="38"/>
      <c r="JP5" s="37" t="s">
        <v>117</v>
      </c>
      <c r="JQ5" s="38"/>
      <c r="JR5" s="38"/>
      <c r="JS5" s="38"/>
      <c r="JT5" s="39"/>
      <c r="JU5" s="37" t="s">
        <v>117</v>
      </c>
      <c r="JV5" s="38"/>
      <c r="JW5" s="38"/>
      <c r="JX5" s="38"/>
      <c r="JY5" s="38"/>
      <c r="JZ5" s="37" t="s">
        <v>118</v>
      </c>
      <c r="KA5" s="38"/>
      <c r="KB5" s="38"/>
      <c r="KC5" s="38"/>
      <c r="KD5" s="39"/>
      <c r="KE5" s="37" t="s">
        <v>118</v>
      </c>
      <c r="KF5" s="38"/>
      <c r="KG5" s="38"/>
      <c r="KH5" s="38"/>
      <c r="KI5" s="38"/>
      <c r="KJ5" s="37" t="s">
        <v>119</v>
      </c>
      <c r="KK5" s="38"/>
      <c r="KL5" s="38"/>
      <c r="KM5" s="38"/>
      <c r="KN5" s="39"/>
      <c r="KO5" s="37" t="s">
        <v>119</v>
      </c>
      <c r="KP5" s="38"/>
      <c r="KQ5" s="38"/>
      <c r="KR5" s="38"/>
      <c r="KS5" s="38"/>
      <c r="KT5" s="37" t="s">
        <v>120</v>
      </c>
      <c r="KU5" s="38"/>
      <c r="KV5" s="38"/>
      <c r="KW5" s="38"/>
      <c r="KX5" s="39"/>
      <c r="KY5" s="37" t="s">
        <v>120</v>
      </c>
      <c r="KZ5" s="38"/>
      <c r="LA5" s="38"/>
      <c r="LB5" s="38"/>
      <c r="LC5" s="38"/>
      <c r="LD5" s="37" t="s">
        <v>121</v>
      </c>
      <c r="LE5" s="38"/>
      <c r="LF5" s="38"/>
      <c r="LG5" s="38"/>
      <c r="LH5" s="39"/>
      <c r="LI5" s="37" t="s">
        <v>121</v>
      </c>
      <c r="LJ5" s="38"/>
      <c r="LK5" s="38"/>
      <c r="LL5" s="38"/>
      <c r="LM5" s="38"/>
      <c r="LN5" s="20"/>
      <c r="LO5" s="20"/>
      <c r="LP5" s="20"/>
      <c r="LQ5" s="20"/>
      <c r="LR5" s="20"/>
      <c r="LS5" s="20"/>
      <c r="LT5" s="20"/>
    </row>
    <row r="6" spans="1:337">
      <c r="A6" s="19"/>
      <c r="B6" s="19"/>
      <c r="C6" s="19"/>
      <c r="D6" s="19"/>
      <c r="E6" s="19"/>
      <c r="F6" s="19"/>
      <c r="H6" s="20"/>
      <c r="I6" s="20"/>
      <c r="J6" s="20"/>
      <c r="K6" s="20"/>
      <c r="L6" s="23">
        <v>1</v>
      </c>
      <c r="M6" s="23"/>
      <c r="N6" s="23"/>
      <c r="O6" s="23"/>
      <c r="P6" s="23"/>
      <c r="Q6" s="23">
        <v>2</v>
      </c>
      <c r="R6" s="23"/>
      <c r="S6" s="23"/>
      <c r="T6" s="23"/>
      <c r="U6" s="23"/>
      <c r="V6" s="23">
        <v>1</v>
      </c>
      <c r="W6" s="23"/>
      <c r="X6" s="23"/>
      <c r="Y6" s="23"/>
      <c r="Z6" s="23"/>
      <c r="AA6" s="23">
        <v>2</v>
      </c>
      <c r="AB6" s="23"/>
      <c r="AC6" s="23"/>
      <c r="AD6" s="23"/>
      <c r="AE6" s="23"/>
      <c r="AF6" s="23">
        <v>1</v>
      </c>
      <c r="AG6" s="23"/>
      <c r="AH6" s="23"/>
      <c r="AI6" s="23"/>
      <c r="AJ6" s="23"/>
      <c r="AK6" s="23">
        <v>2</v>
      </c>
      <c r="AL6" s="23"/>
      <c r="AM6" s="23"/>
      <c r="AN6" s="23"/>
      <c r="AO6" s="23"/>
      <c r="AP6" s="23">
        <v>1</v>
      </c>
      <c r="AQ6" s="23"/>
      <c r="AR6" s="23"/>
      <c r="AS6" s="23"/>
      <c r="AT6" s="23"/>
      <c r="AU6" s="23">
        <v>2</v>
      </c>
      <c r="AV6" s="23"/>
      <c r="AW6" s="23"/>
      <c r="AX6" s="23"/>
      <c r="AY6" s="23"/>
      <c r="AZ6" s="23">
        <v>1</v>
      </c>
      <c r="BA6" s="23"/>
      <c r="BB6" s="23"/>
      <c r="BC6" s="23"/>
      <c r="BD6" s="23"/>
      <c r="BE6" s="23">
        <v>2</v>
      </c>
      <c r="BF6" s="23"/>
      <c r="BG6" s="23"/>
      <c r="BH6" s="23"/>
      <c r="BI6" s="23"/>
      <c r="BJ6" s="23">
        <v>1</v>
      </c>
      <c r="BK6" s="23"/>
      <c r="BL6" s="23"/>
      <c r="BM6" s="23"/>
      <c r="BN6" s="23"/>
      <c r="BO6" s="23">
        <v>2</v>
      </c>
      <c r="BP6" s="23"/>
      <c r="BQ6" s="23"/>
      <c r="BR6" s="23"/>
      <c r="BS6" s="23"/>
      <c r="BT6" s="23">
        <v>1</v>
      </c>
      <c r="BU6" s="23"/>
      <c r="BV6" s="23"/>
      <c r="BW6" s="23"/>
      <c r="BX6" s="23"/>
      <c r="BY6" s="23">
        <v>2</v>
      </c>
      <c r="BZ6" s="23"/>
      <c r="CA6" s="23"/>
      <c r="CB6" s="23"/>
      <c r="CC6" s="23"/>
      <c r="CD6" s="40">
        <v>1</v>
      </c>
      <c r="CE6" s="41"/>
      <c r="CF6" s="41"/>
      <c r="CG6" s="41"/>
      <c r="CH6" s="42"/>
      <c r="CI6" s="40">
        <v>2</v>
      </c>
      <c r="CJ6" s="41"/>
      <c r="CK6" s="41"/>
      <c r="CL6" s="41"/>
      <c r="CM6" s="42"/>
      <c r="CN6" s="40">
        <v>1</v>
      </c>
      <c r="CO6" s="41"/>
      <c r="CP6" s="41"/>
      <c r="CQ6" s="41"/>
      <c r="CR6" s="42"/>
      <c r="CS6" s="40">
        <v>2</v>
      </c>
      <c r="CT6" s="41"/>
      <c r="CU6" s="41"/>
      <c r="CV6" s="41"/>
      <c r="CW6" s="42"/>
      <c r="CX6" s="40">
        <v>1</v>
      </c>
      <c r="CY6" s="41"/>
      <c r="CZ6" s="41"/>
      <c r="DA6" s="41"/>
      <c r="DB6" s="42"/>
      <c r="DC6" s="40">
        <v>2</v>
      </c>
      <c r="DD6" s="41"/>
      <c r="DE6" s="41"/>
      <c r="DF6" s="41"/>
      <c r="DG6" s="42"/>
      <c r="DH6" s="40">
        <v>1</v>
      </c>
      <c r="DI6" s="41"/>
      <c r="DJ6" s="41"/>
      <c r="DK6" s="41"/>
      <c r="DL6" s="42"/>
      <c r="DM6" s="40">
        <v>2</v>
      </c>
      <c r="DN6" s="41"/>
      <c r="DO6" s="41"/>
      <c r="DP6" s="41"/>
      <c r="DQ6" s="42"/>
      <c r="DR6" s="40">
        <v>1</v>
      </c>
      <c r="DS6" s="41"/>
      <c r="DT6" s="41"/>
      <c r="DU6" s="41"/>
      <c r="DV6" s="42"/>
      <c r="DW6" s="40">
        <v>2</v>
      </c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  <c r="EY6" s="41"/>
      <c r="EZ6" s="41"/>
      <c r="FA6" s="41"/>
      <c r="FB6" s="41"/>
      <c r="FC6" s="41"/>
      <c r="FD6" s="41"/>
      <c r="FE6" s="41"/>
      <c r="FF6" s="41"/>
      <c r="FG6" s="41"/>
      <c r="FH6" s="41"/>
      <c r="FI6" s="41"/>
      <c r="FJ6" s="41"/>
      <c r="FK6" s="41"/>
      <c r="FL6" s="41"/>
      <c r="FM6" s="41"/>
      <c r="FN6" s="41"/>
      <c r="FO6" s="41"/>
      <c r="FP6" s="41"/>
      <c r="FQ6" s="41"/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2"/>
      <c r="HP6" s="40">
        <v>1</v>
      </c>
      <c r="HQ6" s="41"/>
      <c r="HR6" s="41"/>
      <c r="HS6" s="41"/>
      <c r="HT6" s="42"/>
      <c r="HU6" s="23">
        <v>2</v>
      </c>
      <c r="HV6" s="23"/>
      <c r="HW6" s="23"/>
      <c r="HX6" s="23"/>
      <c r="HY6" s="23"/>
      <c r="HZ6" s="23"/>
      <c r="IA6" s="23"/>
      <c r="IB6" s="40">
        <v>1</v>
      </c>
      <c r="IC6" s="41"/>
      <c r="ID6" s="41"/>
      <c r="IE6" s="41"/>
      <c r="IF6" s="42"/>
      <c r="IG6" s="40">
        <v>2</v>
      </c>
      <c r="IH6" s="41"/>
      <c r="II6" s="41"/>
      <c r="IJ6" s="41"/>
      <c r="IK6" s="41"/>
      <c r="IL6" s="40">
        <v>1</v>
      </c>
      <c r="IM6" s="41"/>
      <c r="IN6" s="41"/>
      <c r="IO6" s="41"/>
      <c r="IP6" s="42"/>
      <c r="IQ6" s="40">
        <v>2</v>
      </c>
      <c r="IR6" s="41"/>
      <c r="IS6" s="41"/>
      <c r="IT6" s="41"/>
      <c r="IU6" s="41"/>
      <c r="IV6" s="40">
        <v>1</v>
      </c>
      <c r="IW6" s="41"/>
      <c r="IX6" s="41"/>
      <c r="IY6" s="41"/>
      <c r="IZ6" s="42"/>
      <c r="JA6" s="40">
        <v>2</v>
      </c>
      <c r="JB6" s="41"/>
      <c r="JC6" s="41"/>
      <c r="JD6" s="41"/>
      <c r="JE6" s="41"/>
      <c r="JF6" s="40">
        <v>1</v>
      </c>
      <c r="JG6" s="41"/>
      <c r="JH6" s="41"/>
      <c r="JI6" s="41"/>
      <c r="JJ6" s="42"/>
      <c r="JK6" s="40">
        <v>2</v>
      </c>
      <c r="JL6" s="41"/>
      <c r="JM6" s="41"/>
      <c r="JN6" s="41"/>
      <c r="JO6" s="41"/>
      <c r="JP6" s="40">
        <v>1</v>
      </c>
      <c r="JQ6" s="41"/>
      <c r="JR6" s="41"/>
      <c r="JS6" s="41"/>
      <c r="JT6" s="42"/>
      <c r="JU6" s="40">
        <v>2</v>
      </c>
      <c r="JV6" s="41"/>
      <c r="JW6" s="41"/>
      <c r="JX6" s="41"/>
      <c r="JY6" s="41"/>
      <c r="JZ6" s="40">
        <v>1</v>
      </c>
      <c r="KA6" s="41"/>
      <c r="KB6" s="41"/>
      <c r="KC6" s="41"/>
      <c r="KD6" s="42"/>
      <c r="KE6" s="40">
        <v>2</v>
      </c>
      <c r="KF6" s="41"/>
      <c r="KG6" s="41"/>
      <c r="KH6" s="41"/>
      <c r="KI6" s="41"/>
      <c r="KJ6" s="40">
        <v>1</v>
      </c>
      <c r="KK6" s="41"/>
      <c r="KL6" s="41"/>
      <c r="KM6" s="41"/>
      <c r="KN6" s="42"/>
      <c r="KO6" s="40">
        <v>2</v>
      </c>
      <c r="KP6" s="41"/>
      <c r="KQ6" s="41"/>
      <c r="KR6" s="41"/>
      <c r="KS6" s="41"/>
      <c r="KT6" s="40">
        <v>1</v>
      </c>
      <c r="KU6" s="41"/>
      <c r="KV6" s="41"/>
      <c r="KW6" s="41"/>
      <c r="KX6" s="42"/>
      <c r="KY6" s="40">
        <v>2</v>
      </c>
      <c r="KZ6" s="41"/>
      <c r="LA6" s="41"/>
      <c r="LB6" s="41"/>
      <c r="LC6" s="41"/>
      <c r="LD6" s="40">
        <v>1</v>
      </c>
      <c r="LE6" s="41"/>
      <c r="LF6" s="41"/>
      <c r="LG6" s="41"/>
      <c r="LH6" s="42"/>
      <c r="LI6" s="40">
        <v>2</v>
      </c>
      <c r="LJ6" s="41"/>
      <c r="LK6" s="41"/>
      <c r="LL6" s="41"/>
      <c r="LM6" s="41"/>
      <c r="LN6" s="20"/>
      <c r="LO6" s="20"/>
      <c r="LP6" s="20"/>
      <c r="LQ6" s="20"/>
      <c r="LR6" s="20"/>
      <c r="LS6" s="20"/>
      <c r="LT6" s="21" t="s">
        <v>8</v>
      </c>
      <c r="LU6" s="46" t="s">
        <v>124</v>
      </c>
      <c r="LV6" s="45"/>
      <c r="LW6" s="45"/>
    </row>
    <row r="7" spans="1:337">
      <c r="A7" s="26" t="s">
        <v>17</v>
      </c>
      <c r="B7" s="27" t="s">
        <v>18</v>
      </c>
      <c r="C7" s="28" t="s">
        <v>19</v>
      </c>
      <c r="D7" s="26" t="s">
        <v>20</v>
      </c>
      <c r="E7" s="23" t="s">
        <v>21</v>
      </c>
      <c r="F7" s="23"/>
      <c r="G7" s="23"/>
      <c r="H7" s="7"/>
      <c r="I7" s="7"/>
      <c r="J7" s="7"/>
      <c r="K7" s="7"/>
      <c r="L7" s="23" t="s">
        <v>22</v>
      </c>
      <c r="M7" s="23" t="s">
        <v>23</v>
      </c>
      <c r="N7" s="23" t="s">
        <v>24</v>
      </c>
      <c r="O7" s="24" t="s">
        <v>25</v>
      </c>
      <c r="P7" s="24" t="s">
        <v>26</v>
      </c>
      <c r="Q7" s="23" t="s">
        <v>22</v>
      </c>
      <c r="R7" s="23" t="s">
        <v>23</v>
      </c>
      <c r="S7" s="23" t="s">
        <v>24</v>
      </c>
      <c r="T7" s="24" t="s">
        <v>25</v>
      </c>
      <c r="U7" s="24" t="s">
        <v>26</v>
      </c>
      <c r="V7" s="23" t="s">
        <v>22</v>
      </c>
      <c r="W7" s="23" t="s">
        <v>23</v>
      </c>
      <c r="X7" s="23" t="s">
        <v>24</v>
      </c>
      <c r="Y7" s="24" t="s">
        <v>25</v>
      </c>
      <c r="Z7" s="24" t="s">
        <v>26</v>
      </c>
      <c r="AA7" s="23" t="s">
        <v>22</v>
      </c>
      <c r="AB7" s="23" t="s">
        <v>23</v>
      </c>
      <c r="AC7" s="23" t="s">
        <v>24</v>
      </c>
      <c r="AD7" s="24" t="s">
        <v>25</v>
      </c>
      <c r="AE7" s="24" t="s">
        <v>26</v>
      </c>
      <c r="AF7" s="23" t="s">
        <v>22</v>
      </c>
      <c r="AG7" s="23" t="s">
        <v>23</v>
      </c>
      <c r="AH7" s="23" t="s">
        <v>24</v>
      </c>
      <c r="AI7" s="24" t="s">
        <v>25</v>
      </c>
      <c r="AJ7" s="24" t="s">
        <v>26</v>
      </c>
      <c r="AK7" s="23" t="s">
        <v>22</v>
      </c>
      <c r="AL7" s="23" t="s">
        <v>23</v>
      </c>
      <c r="AM7" s="23" t="s">
        <v>24</v>
      </c>
      <c r="AN7" s="24" t="s">
        <v>25</v>
      </c>
      <c r="AO7" s="24" t="s">
        <v>26</v>
      </c>
      <c r="AP7" s="23" t="s">
        <v>22</v>
      </c>
      <c r="AQ7" s="23" t="s">
        <v>23</v>
      </c>
      <c r="AR7" s="23" t="s">
        <v>24</v>
      </c>
      <c r="AS7" s="24" t="s">
        <v>25</v>
      </c>
      <c r="AT7" s="24" t="s">
        <v>26</v>
      </c>
      <c r="AU7" s="23" t="s">
        <v>22</v>
      </c>
      <c r="AV7" s="23" t="s">
        <v>23</v>
      </c>
      <c r="AW7" s="23" t="s">
        <v>24</v>
      </c>
      <c r="AX7" s="24" t="s">
        <v>25</v>
      </c>
      <c r="AY7" s="24" t="s">
        <v>26</v>
      </c>
      <c r="AZ7" s="23" t="s">
        <v>22</v>
      </c>
      <c r="BA7" s="23" t="s">
        <v>23</v>
      </c>
      <c r="BB7" s="23" t="s">
        <v>24</v>
      </c>
      <c r="BC7" s="24" t="s">
        <v>25</v>
      </c>
      <c r="BD7" s="24" t="s">
        <v>26</v>
      </c>
      <c r="BE7" s="23" t="s">
        <v>22</v>
      </c>
      <c r="BF7" s="23" t="s">
        <v>23</v>
      </c>
      <c r="BG7" s="23" t="s">
        <v>24</v>
      </c>
      <c r="BH7" s="24" t="s">
        <v>25</v>
      </c>
      <c r="BI7" s="24" t="s">
        <v>26</v>
      </c>
      <c r="BJ7" s="23" t="s">
        <v>22</v>
      </c>
      <c r="BK7" s="23" t="s">
        <v>23</v>
      </c>
      <c r="BL7" s="23" t="s">
        <v>24</v>
      </c>
      <c r="BM7" s="24" t="s">
        <v>25</v>
      </c>
      <c r="BN7" s="24" t="s">
        <v>26</v>
      </c>
      <c r="BO7" s="23" t="s">
        <v>22</v>
      </c>
      <c r="BP7" s="23" t="s">
        <v>23</v>
      </c>
      <c r="BQ7" s="23" t="s">
        <v>24</v>
      </c>
      <c r="BR7" s="24" t="s">
        <v>25</v>
      </c>
      <c r="BS7" s="24" t="s">
        <v>26</v>
      </c>
      <c r="BT7" s="23" t="s">
        <v>22</v>
      </c>
      <c r="BU7" s="23" t="s">
        <v>23</v>
      </c>
      <c r="BV7" s="23" t="s">
        <v>24</v>
      </c>
      <c r="BW7" s="24" t="s">
        <v>25</v>
      </c>
      <c r="BX7" s="24" t="s">
        <v>26</v>
      </c>
      <c r="BY7" s="23" t="s">
        <v>22</v>
      </c>
      <c r="BZ7" s="23" t="s">
        <v>23</v>
      </c>
      <c r="CA7" s="23" t="s">
        <v>24</v>
      </c>
      <c r="CB7" s="24" t="s">
        <v>25</v>
      </c>
      <c r="CC7" s="24" t="s">
        <v>26</v>
      </c>
      <c r="CD7" s="24" t="s">
        <v>22</v>
      </c>
      <c r="CE7" s="24" t="s">
        <v>23</v>
      </c>
      <c r="CF7" s="24" t="s">
        <v>24</v>
      </c>
      <c r="CG7" s="24" t="s">
        <v>25</v>
      </c>
      <c r="CH7" s="24" t="s">
        <v>26</v>
      </c>
      <c r="CI7" s="24" t="s">
        <v>22</v>
      </c>
      <c r="CJ7" s="24" t="s">
        <v>23</v>
      </c>
      <c r="CK7" s="24" t="s">
        <v>24</v>
      </c>
      <c r="CL7" s="24" t="s">
        <v>25</v>
      </c>
      <c r="CM7" s="24" t="s">
        <v>26</v>
      </c>
      <c r="CN7" s="24" t="s">
        <v>22</v>
      </c>
      <c r="CO7" s="24" t="s">
        <v>23</v>
      </c>
      <c r="CP7" s="24" t="s">
        <v>24</v>
      </c>
      <c r="CQ7" s="24" t="s">
        <v>25</v>
      </c>
      <c r="CR7" s="24" t="s">
        <v>26</v>
      </c>
      <c r="CS7" s="24" t="s">
        <v>22</v>
      </c>
      <c r="CT7" s="24" t="s">
        <v>23</v>
      </c>
      <c r="CU7" s="24" t="s">
        <v>24</v>
      </c>
      <c r="CV7" s="24" t="s">
        <v>25</v>
      </c>
      <c r="CW7" s="24" t="s">
        <v>26</v>
      </c>
      <c r="CX7" s="24" t="s">
        <v>22</v>
      </c>
      <c r="CY7" s="24" t="s">
        <v>23</v>
      </c>
      <c r="CZ7" s="24" t="s">
        <v>24</v>
      </c>
      <c r="DA7" s="24" t="s">
        <v>25</v>
      </c>
      <c r="DB7" s="24" t="s">
        <v>26</v>
      </c>
      <c r="DC7" s="24" t="s">
        <v>22</v>
      </c>
      <c r="DD7" s="24" t="s">
        <v>23</v>
      </c>
      <c r="DE7" s="24" t="s">
        <v>24</v>
      </c>
      <c r="DF7" s="24" t="s">
        <v>25</v>
      </c>
      <c r="DG7" s="24" t="s">
        <v>26</v>
      </c>
      <c r="DH7" s="24" t="s">
        <v>22</v>
      </c>
      <c r="DI7" s="24" t="s">
        <v>23</v>
      </c>
      <c r="DJ7" s="24" t="s">
        <v>24</v>
      </c>
      <c r="DK7" s="24" t="s">
        <v>25</v>
      </c>
      <c r="DL7" s="24" t="s">
        <v>26</v>
      </c>
      <c r="DM7" s="24" t="s">
        <v>22</v>
      </c>
      <c r="DN7" s="24" t="s">
        <v>23</v>
      </c>
      <c r="DO7" s="24" t="s">
        <v>24</v>
      </c>
      <c r="DP7" s="24" t="s">
        <v>25</v>
      </c>
      <c r="DQ7" s="24" t="s">
        <v>26</v>
      </c>
      <c r="DR7" s="24" t="s">
        <v>22</v>
      </c>
      <c r="DS7" s="24" t="s">
        <v>23</v>
      </c>
      <c r="DT7" s="24" t="s">
        <v>24</v>
      </c>
      <c r="DU7" s="24" t="s">
        <v>25</v>
      </c>
      <c r="DV7" s="24" t="s">
        <v>26</v>
      </c>
      <c r="DW7" s="24" t="s">
        <v>22</v>
      </c>
      <c r="DX7" s="24" t="s">
        <v>23</v>
      </c>
      <c r="DY7" s="24" t="s">
        <v>24</v>
      </c>
      <c r="DZ7" s="24" t="s">
        <v>25</v>
      </c>
      <c r="EA7" s="24" t="s">
        <v>26</v>
      </c>
      <c r="EB7" s="24" t="s">
        <v>22</v>
      </c>
      <c r="EC7" s="24" t="s">
        <v>23</v>
      </c>
      <c r="ED7" s="24" t="s">
        <v>24</v>
      </c>
      <c r="EE7" s="24" t="s">
        <v>25</v>
      </c>
      <c r="EF7" s="24" t="s">
        <v>26</v>
      </c>
      <c r="EG7" s="24" t="s">
        <v>22</v>
      </c>
      <c r="EH7" s="24" t="s">
        <v>23</v>
      </c>
      <c r="EI7" s="24" t="s">
        <v>24</v>
      </c>
      <c r="EJ7" s="24" t="s">
        <v>25</v>
      </c>
      <c r="EK7" s="24" t="s">
        <v>26</v>
      </c>
      <c r="EL7" s="20"/>
      <c r="EM7" s="20"/>
      <c r="EN7" s="20"/>
      <c r="EO7" s="20"/>
      <c r="EP7" s="20"/>
      <c r="EQ7" s="20"/>
      <c r="ER7" s="20"/>
      <c r="ES7" s="20"/>
      <c r="ET7" s="20"/>
      <c r="EU7" s="20"/>
      <c r="EV7" s="20"/>
      <c r="EW7" s="20"/>
      <c r="EX7" s="20"/>
      <c r="EY7" s="20"/>
      <c r="EZ7" s="20"/>
      <c r="FA7" s="20"/>
      <c r="FB7" s="20"/>
      <c r="FC7" s="20"/>
      <c r="FD7" s="20"/>
      <c r="FE7" s="20"/>
      <c r="FF7" s="20"/>
      <c r="FG7" s="20"/>
      <c r="FH7" s="20"/>
      <c r="FI7" s="20"/>
      <c r="FJ7" s="20"/>
      <c r="FK7" s="20"/>
      <c r="FL7" s="20"/>
      <c r="FM7" s="20"/>
      <c r="FN7" s="20"/>
      <c r="FO7" s="20"/>
      <c r="FP7" s="20"/>
      <c r="FQ7" s="20"/>
      <c r="FR7" s="20"/>
      <c r="FS7" s="20"/>
      <c r="FT7" s="20"/>
      <c r="FU7" s="20"/>
      <c r="FV7" s="20"/>
      <c r="FW7" s="20"/>
      <c r="FX7" s="20"/>
      <c r="FY7" s="20"/>
      <c r="FZ7" s="20"/>
      <c r="GA7" s="20"/>
      <c r="GB7" s="20"/>
      <c r="GC7" s="20"/>
      <c r="GD7" s="20"/>
      <c r="GE7" s="20"/>
      <c r="GF7" s="20"/>
      <c r="GG7" s="20"/>
      <c r="GH7" s="20"/>
      <c r="GI7" s="20"/>
      <c r="GJ7" s="20"/>
      <c r="GK7" s="20"/>
      <c r="GL7" s="20"/>
      <c r="GM7" s="20"/>
      <c r="GN7" s="20"/>
      <c r="GO7" s="20"/>
      <c r="GP7" s="20"/>
      <c r="GQ7" s="20"/>
      <c r="GR7" s="20"/>
      <c r="GS7" s="20"/>
      <c r="GT7" s="20"/>
      <c r="GU7" s="20"/>
      <c r="GV7" s="20"/>
      <c r="GW7" s="20"/>
      <c r="GX7" s="20"/>
      <c r="GY7" s="20"/>
      <c r="GZ7" s="20"/>
      <c r="HA7" s="20"/>
      <c r="HB7" s="20"/>
      <c r="HC7" s="20"/>
      <c r="HD7" s="20"/>
      <c r="HE7" s="20"/>
      <c r="HF7" s="20"/>
      <c r="HG7" s="20"/>
      <c r="HH7" s="20"/>
      <c r="HI7" s="20"/>
      <c r="HJ7" s="20"/>
      <c r="HK7" s="20"/>
      <c r="HL7" s="24" t="s">
        <v>23</v>
      </c>
      <c r="HM7" s="24" t="s">
        <v>24</v>
      </c>
      <c r="HN7" s="24" t="s">
        <v>25</v>
      </c>
      <c r="HO7" s="24" t="s">
        <v>26</v>
      </c>
      <c r="HP7" s="24" t="s">
        <v>22</v>
      </c>
      <c r="HQ7" s="24" t="s">
        <v>23</v>
      </c>
      <c r="HR7" s="24" t="s">
        <v>24</v>
      </c>
      <c r="HS7" s="24" t="s">
        <v>25</v>
      </c>
      <c r="HT7" s="24" t="s">
        <v>26</v>
      </c>
      <c r="HU7" s="24" t="s">
        <v>22</v>
      </c>
      <c r="HV7" s="24" t="s">
        <v>23</v>
      </c>
      <c r="HW7" s="24" t="s">
        <v>24</v>
      </c>
      <c r="HX7" s="24" t="s">
        <v>23</v>
      </c>
      <c r="HY7" s="24" t="s">
        <v>24</v>
      </c>
      <c r="HZ7" s="24" t="s">
        <v>25</v>
      </c>
      <c r="IA7" s="24" t="s">
        <v>26</v>
      </c>
      <c r="IB7" s="24" t="s">
        <v>22</v>
      </c>
      <c r="IC7" s="24" t="s">
        <v>23</v>
      </c>
      <c r="ID7" s="24" t="s">
        <v>24</v>
      </c>
      <c r="IE7" s="24" t="s">
        <v>25</v>
      </c>
      <c r="IF7" s="24" t="s">
        <v>26</v>
      </c>
      <c r="IG7" s="24" t="s">
        <v>22</v>
      </c>
      <c r="IH7" s="24" t="s">
        <v>23</v>
      </c>
      <c r="II7" s="24" t="s">
        <v>24</v>
      </c>
      <c r="IJ7" s="24" t="s">
        <v>25</v>
      </c>
      <c r="IK7" s="24" t="s">
        <v>26</v>
      </c>
      <c r="IL7" s="24" t="s">
        <v>22</v>
      </c>
      <c r="IM7" s="24" t="s">
        <v>23</v>
      </c>
      <c r="IN7" s="23" t="s">
        <v>24</v>
      </c>
      <c r="IO7" s="23" t="s">
        <v>25</v>
      </c>
      <c r="IP7" s="23" t="s">
        <v>26</v>
      </c>
      <c r="IQ7" s="23" t="s">
        <v>22</v>
      </c>
      <c r="IR7" s="23" t="s">
        <v>23</v>
      </c>
      <c r="IS7" s="23" t="s">
        <v>24</v>
      </c>
      <c r="IT7" s="23" t="s">
        <v>25</v>
      </c>
      <c r="IU7" s="23" t="s">
        <v>26</v>
      </c>
      <c r="IV7" s="24" t="s">
        <v>22</v>
      </c>
      <c r="IW7" s="24" t="s">
        <v>23</v>
      </c>
      <c r="IX7" s="23" t="s">
        <v>24</v>
      </c>
      <c r="IY7" s="23" t="s">
        <v>25</v>
      </c>
      <c r="IZ7" s="23" t="s">
        <v>26</v>
      </c>
      <c r="JA7" s="23" t="s">
        <v>22</v>
      </c>
      <c r="JB7" s="23" t="s">
        <v>23</v>
      </c>
      <c r="JC7" s="23" t="s">
        <v>24</v>
      </c>
      <c r="JD7" s="23" t="s">
        <v>25</v>
      </c>
      <c r="JE7" s="23" t="s">
        <v>26</v>
      </c>
      <c r="JF7" s="24" t="s">
        <v>22</v>
      </c>
      <c r="JG7" s="24" t="s">
        <v>23</v>
      </c>
      <c r="JH7" s="23" t="s">
        <v>24</v>
      </c>
      <c r="JI7" s="23" t="s">
        <v>25</v>
      </c>
      <c r="JJ7" s="23" t="s">
        <v>26</v>
      </c>
      <c r="JK7" s="23" t="s">
        <v>22</v>
      </c>
      <c r="JL7" s="23" t="s">
        <v>23</v>
      </c>
      <c r="JM7" s="23" t="s">
        <v>24</v>
      </c>
      <c r="JN7" s="23" t="s">
        <v>25</v>
      </c>
      <c r="JO7" s="23" t="s">
        <v>26</v>
      </c>
      <c r="JP7" s="24" t="s">
        <v>22</v>
      </c>
      <c r="JQ7" s="24" t="s">
        <v>23</v>
      </c>
      <c r="JR7" s="23" t="s">
        <v>24</v>
      </c>
      <c r="JS7" s="23" t="s">
        <v>25</v>
      </c>
      <c r="JT7" s="23" t="s">
        <v>26</v>
      </c>
      <c r="JU7" s="23" t="s">
        <v>22</v>
      </c>
      <c r="JV7" s="23" t="s">
        <v>23</v>
      </c>
      <c r="JW7" s="23" t="s">
        <v>24</v>
      </c>
      <c r="JX7" s="23" t="s">
        <v>25</v>
      </c>
      <c r="JY7" s="23" t="s">
        <v>26</v>
      </c>
      <c r="JZ7" s="24" t="s">
        <v>22</v>
      </c>
      <c r="KA7" s="24" t="s">
        <v>23</v>
      </c>
      <c r="KB7" s="23" t="s">
        <v>24</v>
      </c>
      <c r="KC7" s="23" t="s">
        <v>25</v>
      </c>
      <c r="KD7" s="23" t="s">
        <v>26</v>
      </c>
      <c r="KE7" s="23" t="s">
        <v>22</v>
      </c>
      <c r="KF7" s="23" t="s">
        <v>23</v>
      </c>
      <c r="KG7" s="23" t="s">
        <v>24</v>
      </c>
      <c r="KH7" s="23" t="s">
        <v>25</v>
      </c>
      <c r="KI7" s="23" t="s">
        <v>26</v>
      </c>
      <c r="KJ7" s="24" t="s">
        <v>22</v>
      </c>
      <c r="KK7" s="24" t="s">
        <v>23</v>
      </c>
      <c r="KL7" s="23" t="s">
        <v>24</v>
      </c>
      <c r="KM7" s="23" t="s">
        <v>25</v>
      </c>
      <c r="KN7" s="23" t="s">
        <v>26</v>
      </c>
      <c r="KO7" s="23" t="s">
        <v>22</v>
      </c>
      <c r="KP7" s="23" t="s">
        <v>23</v>
      </c>
      <c r="KQ7" s="23" t="s">
        <v>24</v>
      </c>
      <c r="KR7" s="23" t="s">
        <v>25</v>
      </c>
      <c r="KS7" s="23" t="s">
        <v>26</v>
      </c>
      <c r="KT7" s="24" t="s">
        <v>22</v>
      </c>
      <c r="KU7" s="24" t="s">
        <v>23</v>
      </c>
      <c r="KV7" s="23" t="s">
        <v>24</v>
      </c>
      <c r="KW7" s="23" t="s">
        <v>25</v>
      </c>
      <c r="KX7" s="23" t="s">
        <v>26</v>
      </c>
      <c r="KY7" s="23" t="s">
        <v>22</v>
      </c>
      <c r="KZ7" s="23" t="s">
        <v>23</v>
      </c>
      <c r="LA7" s="23" t="s">
        <v>24</v>
      </c>
      <c r="LB7" s="23" t="s">
        <v>25</v>
      </c>
      <c r="LC7" s="23" t="s">
        <v>26</v>
      </c>
      <c r="LD7" s="24" t="s">
        <v>22</v>
      </c>
      <c r="LE7" s="24" t="s">
        <v>23</v>
      </c>
      <c r="LF7" s="23" t="s">
        <v>24</v>
      </c>
      <c r="LG7" s="23" t="s">
        <v>25</v>
      </c>
      <c r="LH7" s="23" t="s">
        <v>26</v>
      </c>
      <c r="LI7" s="23" t="s">
        <v>22</v>
      </c>
      <c r="LJ7" s="23" t="s">
        <v>23</v>
      </c>
      <c r="LK7" s="23" t="s">
        <v>24</v>
      </c>
      <c r="LL7" s="23" t="s">
        <v>25</v>
      </c>
      <c r="LM7" s="23" t="s">
        <v>26</v>
      </c>
      <c r="LN7" s="20">
        <f>COUNT(L9:CH9)</f>
        <v>25</v>
      </c>
      <c r="LO7" s="6">
        <f>AVERAGE(L9:CH9)</f>
        <v>57.018600000000006</v>
      </c>
      <c r="LP7" s="21">
        <f>STDEVA(L9:CH9)</f>
        <v>7.1530879112916375E-3</v>
      </c>
      <c r="LQ7" s="7"/>
      <c r="LR7" s="7"/>
      <c r="LS7" s="7"/>
      <c r="LT7" s="3" t="s">
        <v>16</v>
      </c>
      <c r="LU7" s="47" t="s">
        <v>125</v>
      </c>
      <c r="LV7" s="47" t="s">
        <v>126</v>
      </c>
      <c r="LW7" s="47" t="s">
        <v>127</v>
      </c>
    </row>
    <row r="8" spans="1:337">
      <c r="A8" s="26"/>
      <c r="B8" s="27"/>
      <c r="C8" s="29"/>
      <c r="D8" s="26"/>
      <c r="E8" s="20" t="s">
        <v>27</v>
      </c>
      <c r="F8" s="20" t="s">
        <v>28</v>
      </c>
      <c r="G8" s="20" t="s">
        <v>29</v>
      </c>
      <c r="H8" s="20" t="s">
        <v>12</v>
      </c>
      <c r="I8" s="20" t="s">
        <v>122</v>
      </c>
      <c r="J8" s="20" t="s">
        <v>123</v>
      </c>
      <c r="K8" s="20" t="s">
        <v>123</v>
      </c>
      <c r="L8" s="23"/>
      <c r="M8" s="23"/>
      <c r="N8" s="23"/>
      <c r="O8" s="25"/>
      <c r="P8" s="25"/>
      <c r="Q8" s="23"/>
      <c r="R8" s="23"/>
      <c r="S8" s="23"/>
      <c r="T8" s="25"/>
      <c r="U8" s="25"/>
      <c r="V8" s="23"/>
      <c r="W8" s="23"/>
      <c r="X8" s="23"/>
      <c r="Y8" s="25"/>
      <c r="Z8" s="25"/>
      <c r="AA8" s="23"/>
      <c r="AB8" s="23"/>
      <c r="AC8" s="23"/>
      <c r="AD8" s="25"/>
      <c r="AE8" s="25"/>
      <c r="AF8" s="23"/>
      <c r="AG8" s="23"/>
      <c r="AH8" s="23"/>
      <c r="AI8" s="25"/>
      <c r="AJ8" s="25"/>
      <c r="AK8" s="23"/>
      <c r="AL8" s="23"/>
      <c r="AM8" s="23"/>
      <c r="AN8" s="25"/>
      <c r="AO8" s="25"/>
      <c r="AP8" s="23"/>
      <c r="AQ8" s="23"/>
      <c r="AR8" s="23"/>
      <c r="AS8" s="25"/>
      <c r="AT8" s="25"/>
      <c r="AU8" s="23"/>
      <c r="AV8" s="23"/>
      <c r="AW8" s="23"/>
      <c r="AX8" s="25"/>
      <c r="AY8" s="25"/>
      <c r="AZ8" s="23"/>
      <c r="BA8" s="23"/>
      <c r="BB8" s="23"/>
      <c r="BC8" s="25"/>
      <c r="BD8" s="25"/>
      <c r="BE8" s="23"/>
      <c r="BF8" s="23"/>
      <c r="BG8" s="23"/>
      <c r="BH8" s="25"/>
      <c r="BI8" s="25"/>
      <c r="BJ8" s="23"/>
      <c r="BK8" s="23"/>
      <c r="BL8" s="23"/>
      <c r="BM8" s="25"/>
      <c r="BN8" s="25"/>
      <c r="BO8" s="23"/>
      <c r="BP8" s="23"/>
      <c r="BQ8" s="23"/>
      <c r="BR8" s="25"/>
      <c r="BS8" s="25"/>
      <c r="BT8" s="23"/>
      <c r="BU8" s="23"/>
      <c r="BV8" s="23"/>
      <c r="BW8" s="25"/>
      <c r="BX8" s="25"/>
      <c r="BY8" s="23"/>
      <c r="BZ8" s="23"/>
      <c r="CA8" s="23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  <c r="CP8" s="25"/>
      <c r="CQ8" s="25"/>
      <c r="CR8" s="25"/>
      <c r="CS8" s="25"/>
      <c r="CT8" s="25"/>
      <c r="CU8" s="25"/>
      <c r="CV8" s="25"/>
      <c r="CW8" s="25"/>
      <c r="CX8" s="25"/>
      <c r="CY8" s="25"/>
      <c r="CZ8" s="25"/>
      <c r="DA8" s="25"/>
      <c r="DB8" s="25"/>
      <c r="DC8" s="25"/>
      <c r="DD8" s="25"/>
      <c r="DE8" s="25"/>
      <c r="DF8" s="25"/>
      <c r="DG8" s="25"/>
      <c r="DH8" s="25"/>
      <c r="DI8" s="25"/>
      <c r="DJ8" s="25"/>
      <c r="DK8" s="25"/>
      <c r="DL8" s="25"/>
      <c r="DM8" s="25"/>
      <c r="DN8" s="25"/>
      <c r="DO8" s="25"/>
      <c r="DP8" s="25"/>
      <c r="DQ8" s="25"/>
      <c r="DR8" s="25"/>
      <c r="DS8" s="25"/>
      <c r="DT8" s="25"/>
      <c r="DU8" s="25"/>
      <c r="DV8" s="25"/>
      <c r="DW8" s="25"/>
      <c r="DX8" s="25"/>
      <c r="DY8" s="25"/>
      <c r="DZ8" s="25"/>
      <c r="EA8" s="25"/>
      <c r="EB8" s="25"/>
      <c r="EC8" s="25"/>
      <c r="ED8" s="25"/>
      <c r="EE8" s="25"/>
      <c r="EF8" s="25"/>
      <c r="EG8" s="25"/>
      <c r="EH8" s="25"/>
      <c r="EI8" s="25"/>
      <c r="EJ8" s="25"/>
      <c r="EK8" s="25"/>
      <c r="EL8" s="20"/>
      <c r="EM8" s="20"/>
      <c r="EN8" s="20"/>
      <c r="EO8" s="20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20"/>
      <c r="GF8" s="20"/>
      <c r="GG8" s="20"/>
      <c r="GH8" s="20"/>
      <c r="GI8" s="20"/>
      <c r="GJ8" s="20"/>
      <c r="GK8" s="20"/>
      <c r="GL8" s="20"/>
      <c r="GM8" s="20"/>
      <c r="GN8" s="20"/>
      <c r="GO8" s="20"/>
      <c r="GP8" s="20"/>
      <c r="GQ8" s="20"/>
      <c r="GR8" s="20"/>
      <c r="GS8" s="20"/>
      <c r="GT8" s="20"/>
      <c r="GU8" s="20"/>
      <c r="GV8" s="20"/>
      <c r="GW8" s="20"/>
      <c r="GX8" s="20"/>
      <c r="GY8" s="20"/>
      <c r="GZ8" s="20"/>
      <c r="HA8" s="20"/>
      <c r="HB8" s="20"/>
      <c r="HC8" s="20"/>
      <c r="HD8" s="20"/>
      <c r="HE8" s="20"/>
      <c r="HF8" s="20"/>
      <c r="HG8" s="20"/>
      <c r="HH8" s="20"/>
      <c r="HI8" s="20"/>
      <c r="HJ8" s="20"/>
      <c r="HK8" s="20"/>
      <c r="HL8" s="25"/>
      <c r="HM8" s="25"/>
      <c r="HN8" s="25"/>
      <c r="HO8" s="25"/>
      <c r="HP8" s="25"/>
      <c r="HQ8" s="25"/>
      <c r="HR8" s="43"/>
      <c r="HS8" s="43"/>
      <c r="HT8" s="43"/>
      <c r="HU8" s="43"/>
      <c r="HV8" s="43"/>
      <c r="HW8" s="43"/>
      <c r="HX8" s="43"/>
      <c r="HY8" s="43"/>
      <c r="HZ8" s="43"/>
      <c r="IA8" s="43"/>
      <c r="IB8" s="43"/>
      <c r="IC8" s="43"/>
      <c r="ID8" s="43"/>
      <c r="IE8" s="43"/>
      <c r="IF8" s="43"/>
      <c r="IG8" s="43"/>
      <c r="IH8" s="43"/>
      <c r="II8" s="43"/>
      <c r="IJ8" s="43"/>
      <c r="IK8" s="43"/>
      <c r="IL8" s="25"/>
      <c r="IM8" s="25"/>
      <c r="IN8" s="23"/>
      <c r="IO8" s="23"/>
      <c r="IP8" s="23"/>
      <c r="IQ8" s="23"/>
      <c r="IR8" s="23"/>
      <c r="IS8" s="23"/>
      <c r="IT8" s="23"/>
      <c r="IU8" s="23"/>
      <c r="IV8" s="25"/>
      <c r="IW8" s="25"/>
      <c r="IX8" s="23"/>
      <c r="IY8" s="23"/>
      <c r="IZ8" s="23"/>
      <c r="JA8" s="23"/>
      <c r="JB8" s="23"/>
      <c r="JC8" s="23"/>
      <c r="JD8" s="23"/>
      <c r="JE8" s="23"/>
      <c r="JF8" s="25"/>
      <c r="JG8" s="25"/>
      <c r="JH8" s="23"/>
      <c r="JI8" s="23"/>
      <c r="JJ8" s="23"/>
      <c r="JK8" s="23"/>
      <c r="JL8" s="23"/>
      <c r="JM8" s="23"/>
      <c r="JN8" s="23"/>
      <c r="JO8" s="23"/>
      <c r="JP8" s="25"/>
      <c r="JQ8" s="25"/>
      <c r="JR8" s="23"/>
      <c r="JS8" s="23"/>
      <c r="JT8" s="23"/>
      <c r="JU8" s="23"/>
      <c r="JV8" s="23"/>
      <c r="JW8" s="23"/>
      <c r="JX8" s="23"/>
      <c r="JY8" s="23"/>
      <c r="JZ8" s="25"/>
      <c r="KA8" s="25"/>
      <c r="KB8" s="23"/>
      <c r="KC8" s="23"/>
      <c r="KD8" s="23"/>
      <c r="KE8" s="23"/>
      <c r="KF8" s="23"/>
      <c r="KG8" s="23"/>
      <c r="KH8" s="23"/>
      <c r="KI8" s="23"/>
      <c r="KJ8" s="25"/>
      <c r="KK8" s="25"/>
      <c r="KL8" s="23"/>
      <c r="KM8" s="23"/>
      <c r="KN8" s="23"/>
      <c r="KO8" s="23"/>
      <c r="KP8" s="23"/>
      <c r="KQ8" s="23"/>
      <c r="KR8" s="23"/>
      <c r="KS8" s="23"/>
      <c r="KT8" s="25"/>
      <c r="KU8" s="25"/>
      <c r="KV8" s="23"/>
      <c r="KW8" s="23"/>
      <c r="KX8" s="23"/>
      <c r="KY8" s="23"/>
      <c r="KZ8" s="23"/>
      <c r="LA8" s="23"/>
      <c r="LB8" s="23"/>
      <c r="LC8" s="23"/>
      <c r="LD8" s="25"/>
      <c r="LE8" s="25"/>
      <c r="LF8" s="23"/>
      <c r="LG8" s="23"/>
      <c r="LH8" s="23"/>
      <c r="LI8" s="23"/>
      <c r="LJ8" s="23"/>
      <c r="LK8" s="23"/>
      <c r="LL8" s="23"/>
      <c r="LM8" s="23"/>
      <c r="LN8" s="20">
        <f>COUNT(L15:CH15)</f>
        <v>25</v>
      </c>
      <c r="LO8" s="6">
        <f>AVERAGE(L15:CH15)</f>
        <v>82.035560000000004</v>
      </c>
      <c r="LP8" s="21">
        <f>STDEVA(L15:CH15)</f>
        <v>8.1244486992455463E-3</v>
      </c>
      <c r="LQ8" s="20" t="s">
        <v>12</v>
      </c>
      <c r="LR8" s="20" t="s">
        <v>122</v>
      </c>
      <c r="LS8" s="20" t="s">
        <v>123</v>
      </c>
      <c r="LT8" s="20" t="s">
        <v>123</v>
      </c>
    </row>
    <row r="9" spans="1:337">
      <c r="A9" s="21" t="s">
        <v>30</v>
      </c>
      <c r="B9" s="21" t="s">
        <v>31</v>
      </c>
      <c r="C9" s="21" t="s">
        <v>32</v>
      </c>
      <c r="D9" s="21" t="s">
        <v>33</v>
      </c>
      <c r="E9" s="5">
        <v>57.045999999999999</v>
      </c>
      <c r="F9" s="5">
        <v>57</v>
      </c>
      <c r="G9" s="5">
        <f t="shared" ref="G9:G82" si="0">(E9+F9)/2</f>
        <v>57.022999999999996</v>
      </c>
      <c r="H9" s="7"/>
      <c r="I9" s="7"/>
      <c r="J9" s="7"/>
      <c r="K9" s="7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>
        <v>57.018000000000001</v>
      </c>
      <c r="AG9" s="5">
        <v>57.021999999999998</v>
      </c>
      <c r="AH9" s="5">
        <v>57.027000000000001</v>
      </c>
      <c r="AI9" s="5">
        <v>57.02</v>
      </c>
      <c r="AJ9" s="5">
        <v>57.021000000000001</v>
      </c>
      <c r="AK9" s="5"/>
      <c r="AL9" s="5"/>
      <c r="AM9" s="5"/>
      <c r="AN9" s="5"/>
      <c r="AO9" s="5"/>
      <c r="AP9" s="5">
        <v>57.009</v>
      </c>
      <c r="AQ9" s="5">
        <v>57.01</v>
      </c>
      <c r="AR9" s="5">
        <v>57.012999999999998</v>
      </c>
      <c r="AS9" s="5">
        <v>57.005000000000003</v>
      </c>
      <c r="AT9" s="5">
        <v>57.018000000000001</v>
      </c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57.008000000000003</v>
      </c>
      <c r="BF9" s="5">
        <v>57.011000000000003</v>
      </c>
      <c r="BG9" s="5">
        <v>57.006999999999998</v>
      </c>
      <c r="BH9" s="5">
        <v>57.018999999999998</v>
      </c>
      <c r="BI9" s="5">
        <v>57.021000000000001</v>
      </c>
      <c r="BJ9" s="5"/>
      <c r="BK9" s="5"/>
      <c r="BL9" s="5"/>
      <c r="BM9" s="5"/>
      <c r="BN9" s="5"/>
      <c r="BO9" s="5">
        <v>57.027999999999999</v>
      </c>
      <c r="BP9" s="5">
        <v>57.021000000000001</v>
      </c>
      <c r="BQ9" s="5">
        <v>57.024000000000001</v>
      </c>
      <c r="BR9" s="5">
        <v>57.018000000000001</v>
      </c>
      <c r="BS9" s="5">
        <v>57.015999999999998</v>
      </c>
      <c r="BT9" s="5"/>
      <c r="BU9" s="5"/>
      <c r="BV9" s="5"/>
      <c r="BW9" s="5"/>
      <c r="BX9" s="5"/>
      <c r="BY9" s="5">
        <v>57.026000000000003</v>
      </c>
      <c r="BZ9" s="5">
        <v>57.021000000000001</v>
      </c>
      <c r="CA9" s="5">
        <v>57.024000000000001</v>
      </c>
      <c r="CB9" s="5">
        <v>57.027000000000001</v>
      </c>
      <c r="CC9" s="5">
        <v>57.030999999999999</v>
      </c>
      <c r="CD9" s="5"/>
      <c r="CE9" s="5"/>
      <c r="CF9" s="5"/>
      <c r="CG9" s="5"/>
      <c r="CH9" s="5"/>
      <c r="CI9" s="5">
        <v>57.036999999999999</v>
      </c>
      <c r="CJ9" s="5">
        <v>57.031999999999996</v>
      </c>
      <c r="CK9" s="5">
        <v>57.034999999999997</v>
      </c>
      <c r="CL9" s="5">
        <v>57.030999999999999</v>
      </c>
      <c r="CM9" s="5">
        <v>57.027999999999999</v>
      </c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>
        <v>57.027000000000001</v>
      </c>
      <c r="HQ9" s="13">
        <v>57.027999999999999</v>
      </c>
      <c r="HR9" s="14">
        <v>57.031999999999996</v>
      </c>
      <c r="HS9" s="14">
        <v>57.033999999999999</v>
      </c>
      <c r="HT9" s="14">
        <v>57.026000000000003</v>
      </c>
      <c r="HU9" s="14"/>
      <c r="HV9" s="14"/>
      <c r="HW9" s="14"/>
      <c r="HX9" s="14"/>
      <c r="HY9" s="14"/>
      <c r="HZ9" s="14"/>
      <c r="IA9" s="14"/>
      <c r="IB9" s="11"/>
      <c r="IC9" s="11"/>
      <c r="ID9" s="11"/>
      <c r="IE9" s="11"/>
      <c r="IF9" s="11"/>
      <c r="IG9" s="11"/>
      <c r="IH9" s="11"/>
      <c r="II9" s="11"/>
      <c r="IJ9" s="11"/>
      <c r="IK9" s="11"/>
      <c r="IL9" s="14"/>
      <c r="IM9" s="14"/>
      <c r="IN9" s="14"/>
      <c r="IO9" s="14"/>
      <c r="IP9" s="14"/>
      <c r="IQ9" s="14"/>
      <c r="IR9" s="14"/>
      <c r="IS9" s="14"/>
      <c r="IT9" s="14"/>
      <c r="IU9" s="14"/>
      <c r="IV9" s="14"/>
      <c r="IW9" s="14"/>
      <c r="IX9" s="14"/>
      <c r="IY9" s="14"/>
      <c r="IZ9" s="14"/>
      <c r="JA9" s="14">
        <v>57.031999999999996</v>
      </c>
      <c r="JB9" s="14">
        <v>57.024999999999999</v>
      </c>
      <c r="JC9" s="14">
        <v>57.027000000000001</v>
      </c>
      <c r="JD9" s="14">
        <v>57.021000000000001</v>
      </c>
      <c r="JE9" s="14">
        <v>57.029000000000003</v>
      </c>
      <c r="JF9" s="14"/>
      <c r="JG9" s="14"/>
      <c r="JH9" s="14"/>
      <c r="JI9" s="14"/>
      <c r="JJ9" s="14"/>
      <c r="JK9" s="14">
        <v>57.031999999999996</v>
      </c>
      <c r="JL9" s="14">
        <v>57.034999999999997</v>
      </c>
      <c r="JM9" s="14">
        <v>57.029000000000003</v>
      </c>
      <c r="JN9" s="14">
        <v>57.030999999999999</v>
      </c>
      <c r="JO9" s="14">
        <v>57.024999999999999</v>
      </c>
      <c r="JP9" s="14"/>
      <c r="JQ9" s="14"/>
      <c r="JR9" s="14"/>
      <c r="JS9" s="14"/>
      <c r="JT9" s="14"/>
      <c r="JU9" s="14">
        <v>57.024999999999999</v>
      </c>
      <c r="JV9" s="14">
        <v>57.021000000000001</v>
      </c>
      <c r="JW9" s="14">
        <v>27.032</v>
      </c>
      <c r="JX9" s="14">
        <v>57.033000000000001</v>
      </c>
      <c r="JY9" s="14">
        <v>57.037999999999997</v>
      </c>
      <c r="JZ9" s="14"/>
      <c r="KA9" s="14"/>
      <c r="KB9" s="14"/>
      <c r="KC9" s="14"/>
      <c r="KD9" s="14"/>
      <c r="KE9" s="14">
        <v>57.024999999999999</v>
      </c>
      <c r="KF9" s="14">
        <v>57.027999999999999</v>
      </c>
      <c r="KG9" s="14">
        <v>57.031999999999996</v>
      </c>
      <c r="KH9" s="14">
        <v>57.033999999999999</v>
      </c>
      <c r="KI9" s="14">
        <v>57.029000000000003</v>
      </c>
      <c r="KJ9" s="14"/>
      <c r="KK9" s="14"/>
      <c r="KL9" s="14"/>
      <c r="KM9" s="14"/>
      <c r="KN9" s="14"/>
      <c r="KO9" s="14"/>
      <c r="KP9" s="14"/>
      <c r="KQ9" s="14"/>
      <c r="KR9" s="14"/>
      <c r="KS9" s="14"/>
      <c r="KT9" s="14"/>
      <c r="KU9" s="14"/>
      <c r="KV9" s="14"/>
      <c r="KW9" s="14"/>
      <c r="KX9" s="14"/>
      <c r="KY9" s="14"/>
      <c r="KZ9" s="14"/>
      <c r="LA9" s="14"/>
      <c r="LB9" s="14"/>
      <c r="LC9" s="14"/>
      <c r="LD9" s="14"/>
      <c r="LE9" s="14"/>
      <c r="LF9" s="14"/>
      <c r="LG9" s="14"/>
      <c r="LH9" s="14"/>
      <c r="LI9" s="14"/>
      <c r="LJ9" s="14"/>
      <c r="LK9" s="14"/>
      <c r="LL9" s="14"/>
      <c r="LM9" s="14"/>
      <c r="LN9" s="22">
        <f>COUNT(L16:CH16)</f>
        <v>5</v>
      </c>
      <c r="LO9" s="6">
        <f>AVERAGE(L16:CH16)</f>
        <v>82.022199999999998</v>
      </c>
      <c r="LP9" s="21">
        <f>STDEVA(L16:CH16)</f>
        <v>1.3038404810396709E-3</v>
      </c>
      <c r="LQ9" s="7">
        <f>(E16-F16)/(6*LP9)</f>
        <v>6.3913749070652663</v>
      </c>
      <c r="LR9" s="7">
        <f>(E16-LO9)/(3*LP9)</f>
        <v>12.220308822308251</v>
      </c>
      <c r="LS9" s="7">
        <f>(LO9-F16)/(3*LP9)</f>
        <v>0.56244099182228113</v>
      </c>
      <c r="LT9" s="7">
        <f>MIN(LR9:LS9)</f>
        <v>0.56244099182228113</v>
      </c>
      <c r="LU9">
        <v>57.023000000000003</v>
      </c>
      <c r="LV9">
        <v>57.023000000000003</v>
      </c>
      <c r="LW9">
        <v>57.023000000000003</v>
      </c>
    </row>
    <row r="10" spans="1:337">
      <c r="A10" s="21"/>
      <c r="B10" s="21"/>
      <c r="C10" s="21"/>
      <c r="D10" s="21"/>
      <c r="E10" s="5"/>
      <c r="F10" s="5"/>
      <c r="G10" s="5"/>
      <c r="H10" s="7"/>
      <c r="I10" s="7"/>
      <c r="J10" s="7"/>
      <c r="K10" s="7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13"/>
      <c r="HR10" s="14"/>
      <c r="HS10" s="14"/>
      <c r="HT10" s="14"/>
      <c r="HU10" s="14"/>
      <c r="HV10" s="14"/>
      <c r="HW10" s="14"/>
      <c r="HX10" s="14"/>
      <c r="HY10" s="14"/>
      <c r="HZ10" s="14"/>
      <c r="IA10" s="14"/>
      <c r="IB10" s="11"/>
      <c r="IC10" s="11"/>
      <c r="ID10" s="11"/>
      <c r="IE10" s="11"/>
      <c r="IF10" s="11"/>
      <c r="IG10" s="11"/>
      <c r="IH10" s="11"/>
      <c r="II10" s="11"/>
      <c r="IJ10" s="11"/>
      <c r="IK10" s="11"/>
      <c r="IL10" s="14"/>
      <c r="IM10" s="14"/>
      <c r="IN10" s="14"/>
      <c r="IO10" s="14"/>
      <c r="IP10" s="14"/>
      <c r="IQ10" s="14"/>
      <c r="IR10" s="14"/>
      <c r="IS10" s="14"/>
      <c r="IT10" s="14"/>
      <c r="IU10" s="14"/>
      <c r="IV10" s="14"/>
      <c r="IW10" s="14"/>
      <c r="IX10" s="14"/>
      <c r="IY10" s="14"/>
      <c r="IZ10" s="14"/>
      <c r="JA10" s="14"/>
      <c r="JB10" s="14"/>
      <c r="JC10" s="14"/>
      <c r="JD10" s="14"/>
      <c r="JE10" s="14"/>
      <c r="JF10" s="14"/>
      <c r="JG10" s="14"/>
      <c r="JH10" s="14"/>
      <c r="JI10" s="14"/>
      <c r="JJ10" s="14"/>
      <c r="JK10" s="14"/>
      <c r="JL10" s="14"/>
      <c r="JM10" s="14"/>
      <c r="JN10" s="14"/>
      <c r="JO10" s="14"/>
      <c r="JP10" s="14"/>
      <c r="JQ10" s="14"/>
      <c r="JR10" s="14"/>
      <c r="JS10" s="14"/>
      <c r="JT10" s="14"/>
      <c r="JU10" s="14"/>
      <c r="JV10" s="14"/>
      <c r="JW10" s="14"/>
      <c r="JX10" s="14"/>
      <c r="JY10" s="14"/>
      <c r="JZ10" s="14"/>
      <c r="KA10" s="14"/>
      <c r="KB10" s="14"/>
      <c r="KC10" s="14"/>
      <c r="KD10" s="14"/>
      <c r="KE10" s="14"/>
      <c r="KF10" s="14"/>
      <c r="KG10" s="14"/>
      <c r="KH10" s="14"/>
      <c r="KI10" s="14"/>
      <c r="KJ10" s="14"/>
      <c r="KK10" s="14"/>
      <c r="KL10" s="14"/>
      <c r="KM10" s="14"/>
      <c r="KN10" s="14"/>
      <c r="KO10" s="14"/>
      <c r="KP10" s="14"/>
      <c r="KQ10" s="14"/>
      <c r="KR10" s="14"/>
      <c r="KS10" s="14"/>
      <c r="KT10" s="14"/>
      <c r="KU10" s="14"/>
      <c r="KV10" s="14"/>
      <c r="KW10" s="14"/>
      <c r="KX10" s="14"/>
      <c r="KY10" s="14"/>
      <c r="KZ10" s="14"/>
      <c r="LA10" s="14"/>
      <c r="LB10" s="14"/>
      <c r="LC10" s="14"/>
      <c r="LD10" s="14"/>
      <c r="LE10" s="14"/>
      <c r="LF10" s="14"/>
      <c r="LG10" s="14"/>
      <c r="LH10" s="14"/>
      <c r="LI10" s="14"/>
      <c r="LJ10" s="14"/>
      <c r="LK10" s="14"/>
      <c r="LL10" s="14"/>
      <c r="LM10" s="14"/>
      <c r="LN10" s="22"/>
      <c r="LO10" s="6"/>
      <c r="LP10" s="21"/>
      <c r="LQ10" s="7"/>
      <c r="LR10" s="7"/>
      <c r="LS10" s="7"/>
      <c r="LT10" s="7"/>
      <c r="LU10">
        <v>57.023000000000003</v>
      </c>
      <c r="LV10">
        <v>57.023000000000003</v>
      </c>
      <c r="LW10">
        <v>57.023000000000003</v>
      </c>
    </row>
    <row r="11" spans="1:337">
      <c r="A11" s="21"/>
      <c r="B11" s="21"/>
      <c r="C11" s="21"/>
      <c r="D11" s="21"/>
      <c r="E11" s="5"/>
      <c r="F11" s="5"/>
      <c r="G11" s="5"/>
      <c r="H11" s="7"/>
      <c r="I11" s="7"/>
      <c r="J11" s="7"/>
      <c r="K11" s="7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13"/>
      <c r="HR11" s="14"/>
      <c r="HS11" s="14"/>
      <c r="HT11" s="14"/>
      <c r="HU11" s="14"/>
      <c r="HV11" s="14"/>
      <c r="HW11" s="14"/>
      <c r="HX11" s="14"/>
      <c r="HY11" s="14"/>
      <c r="HZ11" s="14"/>
      <c r="IA11" s="14"/>
      <c r="IB11" s="11"/>
      <c r="IC11" s="11"/>
      <c r="ID11" s="11"/>
      <c r="IE11" s="11"/>
      <c r="IF11" s="11"/>
      <c r="IG11" s="11"/>
      <c r="IH11" s="11"/>
      <c r="II11" s="11"/>
      <c r="IJ11" s="11"/>
      <c r="IK11" s="11"/>
      <c r="IL11" s="14"/>
      <c r="IM11" s="14"/>
      <c r="IN11" s="14"/>
      <c r="IO11" s="14"/>
      <c r="IP11" s="14"/>
      <c r="IQ11" s="14"/>
      <c r="IR11" s="14"/>
      <c r="IS11" s="14"/>
      <c r="IT11" s="14"/>
      <c r="IU11" s="14"/>
      <c r="IV11" s="14"/>
      <c r="IW11" s="14"/>
      <c r="IX11" s="14"/>
      <c r="IY11" s="14"/>
      <c r="IZ11" s="14"/>
      <c r="JA11" s="14"/>
      <c r="JB11" s="14"/>
      <c r="JC11" s="14"/>
      <c r="JD11" s="14"/>
      <c r="JE11" s="14"/>
      <c r="JF11" s="14"/>
      <c r="JG11" s="14"/>
      <c r="JH11" s="14"/>
      <c r="JI11" s="14"/>
      <c r="JJ11" s="14"/>
      <c r="JK11" s="14"/>
      <c r="JL11" s="14"/>
      <c r="JM11" s="14"/>
      <c r="JN11" s="14"/>
      <c r="JO11" s="14"/>
      <c r="JP11" s="14"/>
      <c r="JQ11" s="14"/>
      <c r="JR11" s="14"/>
      <c r="JS11" s="14"/>
      <c r="JT11" s="14"/>
      <c r="JU11" s="14"/>
      <c r="JV11" s="14"/>
      <c r="JW11" s="14"/>
      <c r="JX11" s="14"/>
      <c r="JY11" s="14"/>
      <c r="JZ11" s="14"/>
      <c r="KA11" s="14"/>
      <c r="KB11" s="14"/>
      <c r="KC11" s="14"/>
      <c r="KD11" s="14"/>
      <c r="KE11" s="14"/>
      <c r="KF11" s="14"/>
      <c r="KG11" s="14"/>
      <c r="KH11" s="14"/>
      <c r="KI11" s="14"/>
      <c r="KJ11" s="14"/>
      <c r="KK11" s="14"/>
      <c r="KL11" s="14"/>
      <c r="KM11" s="14"/>
      <c r="KN11" s="14"/>
      <c r="KO11" s="14"/>
      <c r="KP11" s="14"/>
      <c r="KQ11" s="14"/>
      <c r="KR11" s="14"/>
      <c r="KS11" s="14"/>
      <c r="KT11" s="14"/>
      <c r="KU11" s="14"/>
      <c r="KV11" s="14"/>
      <c r="KW11" s="14"/>
      <c r="KX11" s="14"/>
      <c r="KY11" s="14"/>
      <c r="KZ11" s="14"/>
      <c r="LA11" s="14"/>
      <c r="LB11" s="14"/>
      <c r="LC11" s="14"/>
      <c r="LD11" s="14"/>
      <c r="LE11" s="14"/>
      <c r="LF11" s="14"/>
      <c r="LG11" s="14"/>
      <c r="LH11" s="14"/>
      <c r="LI11" s="14"/>
      <c r="LJ11" s="14"/>
      <c r="LK11" s="14"/>
      <c r="LL11" s="14"/>
      <c r="LM11" s="14"/>
      <c r="LN11" s="22"/>
      <c r="LO11" s="6"/>
      <c r="LP11" s="21"/>
      <c r="LQ11" s="7"/>
      <c r="LR11" s="7"/>
      <c r="LS11" s="7"/>
      <c r="LT11" s="7"/>
      <c r="LU11">
        <v>57.021999999999998</v>
      </c>
      <c r="LV11">
        <v>57.021999999999998</v>
      </c>
      <c r="LW11">
        <v>57.021999999999998</v>
      </c>
    </row>
    <row r="12" spans="1:337">
      <c r="A12" s="21"/>
      <c r="B12" s="21"/>
      <c r="C12" s="21"/>
      <c r="D12" s="21"/>
      <c r="E12" s="5"/>
      <c r="F12" s="5"/>
      <c r="G12" s="5"/>
      <c r="H12" s="7"/>
      <c r="I12" s="7"/>
      <c r="J12" s="7"/>
      <c r="K12" s="7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13"/>
      <c r="HR12" s="14"/>
      <c r="HS12" s="14"/>
      <c r="HT12" s="14"/>
      <c r="HU12" s="14"/>
      <c r="HV12" s="14"/>
      <c r="HW12" s="14"/>
      <c r="HX12" s="14"/>
      <c r="HY12" s="14"/>
      <c r="HZ12" s="14"/>
      <c r="IA12" s="14"/>
      <c r="IB12" s="11"/>
      <c r="IC12" s="11"/>
      <c r="ID12" s="11"/>
      <c r="IE12" s="11"/>
      <c r="IF12" s="11"/>
      <c r="IG12" s="11"/>
      <c r="IH12" s="11"/>
      <c r="II12" s="11"/>
      <c r="IJ12" s="11"/>
      <c r="IK12" s="11"/>
      <c r="IL12" s="14"/>
      <c r="IM12" s="14"/>
      <c r="IN12" s="14"/>
      <c r="IO12" s="14"/>
      <c r="IP12" s="14"/>
      <c r="IQ12" s="14"/>
      <c r="IR12" s="14"/>
      <c r="IS12" s="14"/>
      <c r="IT12" s="14"/>
      <c r="IU12" s="14"/>
      <c r="IV12" s="14"/>
      <c r="IW12" s="14"/>
      <c r="IX12" s="14"/>
      <c r="IY12" s="14"/>
      <c r="IZ12" s="14"/>
      <c r="JA12" s="14"/>
      <c r="JB12" s="14"/>
      <c r="JC12" s="14"/>
      <c r="JD12" s="14"/>
      <c r="JE12" s="14"/>
      <c r="JF12" s="14"/>
      <c r="JG12" s="14"/>
      <c r="JH12" s="14"/>
      <c r="JI12" s="14"/>
      <c r="JJ12" s="14"/>
      <c r="JK12" s="14"/>
      <c r="JL12" s="14"/>
      <c r="JM12" s="14"/>
      <c r="JN12" s="14"/>
      <c r="JO12" s="14"/>
      <c r="JP12" s="14"/>
      <c r="JQ12" s="14"/>
      <c r="JR12" s="14"/>
      <c r="JS12" s="14"/>
      <c r="JT12" s="14"/>
      <c r="JU12" s="14"/>
      <c r="JV12" s="14"/>
      <c r="JW12" s="14"/>
      <c r="JX12" s="14"/>
      <c r="JY12" s="14"/>
      <c r="JZ12" s="14"/>
      <c r="KA12" s="14"/>
      <c r="KB12" s="14"/>
      <c r="KC12" s="14"/>
      <c r="KD12" s="14"/>
      <c r="KE12" s="14"/>
      <c r="KF12" s="14"/>
      <c r="KG12" s="14"/>
      <c r="KH12" s="14"/>
      <c r="KI12" s="14"/>
      <c r="KJ12" s="14"/>
      <c r="KK12" s="14"/>
      <c r="KL12" s="14"/>
      <c r="KM12" s="14"/>
      <c r="KN12" s="14"/>
      <c r="KO12" s="14"/>
      <c r="KP12" s="14"/>
      <c r="KQ12" s="14"/>
      <c r="KR12" s="14"/>
      <c r="KS12" s="14"/>
      <c r="KT12" s="14"/>
      <c r="KU12" s="14"/>
      <c r="KV12" s="14"/>
      <c r="KW12" s="14"/>
      <c r="KX12" s="14"/>
      <c r="KY12" s="14"/>
      <c r="KZ12" s="14"/>
      <c r="LA12" s="14"/>
      <c r="LB12" s="14"/>
      <c r="LC12" s="14"/>
      <c r="LD12" s="14"/>
      <c r="LE12" s="14"/>
      <c r="LF12" s="14"/>
      <c r="LG12" s="14"/>
      <c r="LH12" s="14"/>
      <c r="LI12" s="14"/>
      <c r="LJ12" s="14"/>
      <c r="LK12" s="14"/>
      <c r="LL12" s="14"/>
      <c r="LM12" s="14"/>
      <c r="LN12" s="22"/>
      <c r="LO12" s="6"/>
      <c r="LP12" s="21"/>
      <c r="LQ12" s="7"/>
      <c r="LR12" s="7"/>
      <c r="LS12" s="7"/>
      <c r="LT12" s="7"/>
      <c r="LU12">
        <v>57.021000000000001</v>
      </c>
      <c r="LV12">
        <v>57.021000000000001</v>
      </c>
      <c r="LW12">
        <v>57.021000000000001</v>
      </c>
    </row>
    <row r="13" spans="1:337">
      <c r="A13" s="21"/>
      <c r="B13" s="21"/>
      <c r="C13" s="21"/>
      <c r="D13" s="21"/>
      <c r="E13" s="5"/>
      <c r="F13" s="5"/>
      <c r="G13" s="5"/>
      <c r="H13" s="7"/>
      <c r="I13" s="7"/>
      <c r="J13" s="7"/>
      <c r="K13" s="7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13"/>
      <c r="HR13" s="14"/>
      <c r="HS13" s="14"/>
      <c r="HT13" s="14"/>
      <c r="HU13" s="14"/>
      <c r="HV13" s="14"/>
      <c r="HW13" s="14"/>
      <c r="HX13" s="14"/>
      <c r="HY13" s="14"/>
      <c r="HZ13" s="14"/>
      <c r="IA13" s="14"/>
      <c r="IB13" s="11"/>
      <c r="IC13" s="11"/>
      <c r="ID13" s="11"/>
      <c r="IE13" s="11"/>
      <c r="IF13" s="11"/>
      <c r="IG13" s="11"/>
      <c r="IH13" s="11"/>
      <c r="II13" s="11"/>
      <c r="IJ13" s="11"/>
      <c r="IK13" s="11"/>
      <c r="IL13" s="14"/>
      <c r="IM13" s="14"/>
      <c r="IN13" s="14"/>
      <c r="IO13" s="14"/>
      <c r="IP13" s="14"/>
      <c r="IQ13" s="14"/>
      <c r="IR13" s="14"/>
      <c r="IS13" s="14"/>
      <c r="IT13" s="14"/>
      <c r="IU13" s="14"/>
      <c r="IV13" s="14"/>
      <c r="IW13" s="14"/>
      <c r="IX13" s="14"/>
      <c r="IY13" s="14"/>
      <c r="IZ13" s="14"/>
      <c r="JA13" s="14"/>
      <c r="JB13" s="14"/>
      <c r="JC13" s="14"/>
      <c r="JD13" s="14"/>
      <c r="JE13" s="14"/>
      <c r="JF13" s="14"/>
      <c r="JG13" s="14"/>
      <c r="JH13" s="14"/>
      <c r="JI13" s="14"/>
      <c r="JJ13" s="14"/>
      <c r="JK13" s="14"/>
      <c r="JL13" s="14"/>
      <c r="JM13" s="14"/>
      <c r="JN13" s="14"/>
      <c r="JO13" s="14"/>
      <c r="JP13" s="14"/>
      <c r="JQ13" s="14"/>
      <c r="JR13" s="14"/>
      <c r="JS13" s="14"/>
      <c r="JT13" s="14"/>
      <c r="JU13" s="14"/>
      <c r="JV13" s="14"/>
      <c r="JW13" s="14"/>
      <c r="JX13" s="14"/>
      <c r="JY13" s="14"/>
      <c r="JZ13" s="14"/>
      <c r="KA13" s="14"/>
      <c r="KB13" s="14"/>
      <c r="KC13" s="14"/>
      <c r="KD13" s="14"/>
      <c r="KE13" s="14"/>
      <c r="KF13" s="14"/>
      <c r="KG13" s="14"/>
      <c r="KH13" s="14"/>
      <c r="KI13" s="14"/>
      <c r="KJ13" s="14"/>
      <c r="KK13" s="14"/>
      <c r="KL13" s="14"/>
      <c r="KM13" s="14"/>
      <c r="KN13" s="14"/>
      <c r="KO13" s="14"/>
      <c r="KP13" s="14"/>
      <c r="KQ13" s="14"/>
      <c r="KR13" s="14"/>
      <c r="KS13" s="14"/>
      <c r="KT13" s="14"/>
      <c r="KU13" s="14"/>
      <c r="KV13" s="14"/>
      <c r="KW13" s="14"/>
      <c r="KX13" s="14"/>
      <c r="KY13" s="14"/>
      <c r="KZ13" s="14"/>
      <c r="LA13" s="14"/>
      <c r="LB13" s="14"/>
      <c r="LC13" s="14"/>
      <c r="LD13" s="14"/>
      <c r="LE13" s="14"/>
      <c r="LF13" s="14"/>
      <c r="LG13" s="14"/>
      <c r="LH13" s="14"/>
      <c r="LI13" s="14"/>
      <c r="LJ13" s="14"/>
      <c r="LK13" s="14"/>
      <c r="LL13" s="14"/>
      <c r="LM13" s="14"/>
      <c r="LN13" s="22"/>
      <c r="LO13" s="6"/>
      <c r="LP13" s="21"/>
      <c r="LQ13" s="7"/>
      <c r="LR13" s="7"/>
      <c r="LS13" s="7"/>
      <c r="LT13" s="7"/>
      <c r="LU13">
        <v>57.024000000000001</v>
      </c>
      <c r="LV13">
        <v>57.024000000000001</v>
      </c>
      <c r="LW13">
        <v>57.024000000000001</v>
      </c>
    </row>
    <row r="14" spans="1:337">
      <c r="A14" s="21"/>
      <c r="B14" s="21"/>
      <c r="C14" s="21"/>
      <c r="D14" s="21"/>
      <c r="E14" s="5"/>
      <c r="F14" s="5"/>
      <c r="G14" s="5"/>
      <c r="H14" s="7"/>
      <c r="I14" s="7"/>
      <c r="J14" s="7"/>
      <c r="K14" s="7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13"/>
      <c r="HR14" s="14"/>
      <c r="HS14" s="14"/>
      <c r="HT14" s="14"/>
      <c r="HU14" s="14"/>
      <c r="HV14" s="14"/>
      <c r="HW14" s="14"/>
      <c r="HX14" s="14"/>
      <c r="HY14" s="14"/>
      <c r="HZ14" s="14"/>
      <c r="IA14" s="14"/>
      <c r="IB14" s="11"/>
      <c r="IC14" s="11"/>
      <c r="ID14" s="11"/>
      <c r="IE14" s="11"/>
      <c r="IF14" s="11"/>
      <c r="IG14" s="11"/>
      <c r="IH14" s="11"/>
      <c r="II14" s="11"/>
      <c r="IJ14" s="11"/>
      <c r="IK14" s="11"/>
      <c r="IL14" s="14"/>
      <c r="IM14" s="14"/>
      <c r="IN14" s="14"/>
      <c r="IO14" s="14"/>
      <c r="IP14" s="14"/>
      <c r="IQ14" s="14"/>
      <c r="IR14" s="14"/>
      <c r="IS14" s="14"/>
      <c r="IT14" s="14"/>
      <c r="IU14" s="14"/>
      <c r="IV14" s="14"/>
      <c r="IW14" s="14"/>
      <c r="IX14" s="14"/>
      <c r="IY14" s="14"/>
      <c r="IZ14" s="14"/>
      <c r="JA14" s="14"/>
      <c r="JB14" s="14"/>
      <c r="JC14" s="14"/>
      <c r="JD14" s="14"/>
      <c r="JE14" s="14"/>
      <c r="JF14" s="14"/>
      <c r="JG14" s="14"/>
      <c r="JH14" s="14"/>
      <c r="JI14" s="14"/>
      <c r="JJ14" s="14"/>
      <c r="JK14" s="14"/>
      <c r="JL14" s="14"/>
      <c r="JM14" s="14"/>
      <c r="JN14" s="14"/>
      <c r="JO14" s="14"/>
      <c r="JP14" s="14"/>
      <c r="JQ14" s="14"/>
      <c r="JR14" s="14"/>
      <c r="JS14" s="14"/>
      <c r="JT14" s="14"/>
      <c r="JU14" s="14"/>
      <c r="JV14" s="14"/>
      <c r="JW14" s="14"/>
      <c r="JX14" s="14"/>
      <c r="JY14" s="14"/>
      <c r="JZ14" s="14"/>
      <c r="KA14" s="14"/>
      <c r="KB14" s="14"/>
      <c r="KC14" s="14"/>
      <c r="KD14" s="14"/>
      <c r="KE14" s="14"/>
      <c r="KF14" s="14"/>
      <c r="KG14" s="14"/>
      <c r="KH14" s="14"/>
      <c r="KI14" s="14"/>
      <c r="KJ14" s="14"/>
      <c r="KK14" s="14"/>
      <c r="KL14" s="14"/>
      <c r="KM14" s="14"/>
      <c r="KN14" s="14"/>
      <c r="KO14" s="14"/>
      <c r="KP14" s="14"/>
      <c r="KQ14" s="14"/>
      <c r="KR14" s="14"/>
      <c r="KS14" s="14"/>
      <c r="KT14" s="14"/>
      <c r="KU14" s="14"/>
      <c r="KV14" s="14"/>
      <c r="KW14" s="14"/>
      <c r="KX14" s="14"/>
      <c r="KY14" s="14"/>
      <c r="KZ14" s="14"/>
      <c r="LA14" s="14"/>
      <c r="LB14" s="14"/>
      <c r="LC14" s="14"/>
      <c r="LD14" s="14"/>
      <c r="LE14" s="14"/>
      <c r="LF14" s="14"/>
      <c r="LG14" s="14"/>
      <c r="LH14" s="14"/>
      <c r="LI14" s="14"/>
      <c r="LJ14" s="14"/>
      <c r="LK14" s="14"/>
      <c r="LL14" s="14"/>
      <c r="LM14" s="14"/>
      <c r="LN14" s="22"/>
      <c r="LO14" s="6"/>
      <c r="LP14" s="21"/>
      <c r="LQ14" s="7"/>
      <c r="LR14" s="7"/>
      <c r="LS14" s="7"/>
      <c r="LT14" s="7"/>
      <c r="LU14">
        <f>AVERAGE(LU9:LU13)</f>
        <v>57.022599999999997</v>
      </c>
      <c r="LV14">
        <f>AVERAGE(LV9:LV13)</f>
        <v>57.022599999999997</v>
      </c>
      <c r="LW14">
        <f>AVERAGE(LW9:LW13)</f>
        <v>57.022599999999997</v>
      </c>
    </row>
    <row r="15" spans="1:337">
      <c r="A15" s="21" t="s">
        <v>30</v>
      </c>
      <c r="B15" s="21" t="s">
        <v>31</v>
      </c>
      <c r="C15" s="21" t="s">
        <v>32</v>
      </c>
      <c r="D15" s="21" t="s">
        <v>34</v>
      </c>
      <c r="E15" s="5">
        <v>82.07</v>
      </c>
      <c r="F15" s="5">
        <v>82.02</v>
      </c>
      <c r="G15" s="5">
        <f t="shared" si="0"/>
        <v>82.044999999999987</v>
      </c>
      <c r="H15" s="7"/>
      <c r="I15" s="7"/>
      <c r="J15" s="7"/>
      <c r="K15" s="7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>
        <v>82.034999999999997</v>
      </c>
      <c r="AG15" s="5">
        <v>82.040999999999997</v>
      </c>
      <c r="AH15" s="5">
        <v>82.037000000000006</v>
      </c>
      <c r="AI15" s="5">
        <v>82.039000000000001</v>
      </c>
      <c r="AJ15" s="5">
        <v>82.05</v>
      </c>
      <c r="AK15" s="5"/>
      <c r="AL15" s="5"/>
      <c r="AM15" s="5"/>
      <c r="AN15" s="5"/>
      <c r="AO15" s="5"/>
      <c r="AP15" s="5">
        <v>82.027000000000001</v>
      </c>
      <c r="AQ15" s="5">
        <v>82.034999999999997</v>
      </c>
      <c r="AR15" s="5">
        <v>82.04</v>
      </c>
      <c r="AS15" s="5">
        <v>82.037000000000006</v>
      </c>
      <c r="AT15" s="5">
        <v>82.049000000000007</v>
      </c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82.021000000000001</v>
      </c>
      <c r="BF15" s="5">
        <v>82.024000000000001</v>
      </c>
      <c r="BG15" s="5">
        <v>82.021000000000001</v>
      </c>
      <c r="BH15" s="5">
        <v>82.024000000000001</v>
      </c>
      <c r="BI15" s="5">
        <v>82.025000000000006</v>
      </c>
      <c r="BJ15" s="5"/>
      <c r="BK15" s="5"/>
      <c r="BL15" s="5"/>
      <c r="BM15" s="5"/>
      <c r="BN15" s="5"/>
      <c r="BO15" s="5">
        <v>82.031999999999996</v>
      </c>
      <c r="BP15" s="5">
        <v>82.037000000000006</v>
      </c>
      <c r="BQ15" s="5">
        <v>82.034999999999997</v>
      </c>
      <c r="BR15" s="5">
        <v>82.040999999999997</v>
      </c>
      <c r="BS15" s="5">
        <v>82.046000000000006</v>
      </c>
      <c r="BT15" s="5"/>
      <c r="BU15" s="5"/>
      <c r="BV15" s="5"/>
      <c r="BW15" s="5"/>
      <c r="BX15" s="5"/>
      <c r="BY15" s="5">
        <v>82.039000000000001</v>
      </c>
      <c r="BZ15" s="5">
        <v>82.036000000000001</v>
      </c>
      <c r="CA15" s="5">
        <v>82.034000000000006</v>
      </c>
      <c r="CB15" s="5">
        <v>82.040999999999997</v>
      </c>
      <c r="CC15" s="5">
        <v>82.043000000000006</v>
      </c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>
        <v>82.034999999999997</v>
      </c>
      <c r="HQ15" s="13">
        <v>82.042000000000002</v>
      </c>
      <c r="HR15" s="14">
        <v>82.037999999999997</v>
      </c>
      <c r="HS15" s="14">
        <v>82.040999999999997</v>
      </c>
      <c r="HT15" s="14">
        <v>82.046000000000006</v>
      </c>
      <c r="HU15" s="14"/>
      <c r="HV15" s="14"/>
      <c r="HW15" s="14"/>
      <c r="HX15" s="14"/>
      <c r="HY15" s="14"/>
      <c r="HZ15" s="14"/>
      <c r="IA15" s="14"/>
      <c r="IB15" s="11"/>
      <c r="IC15" s="11"/>
      <c r="ID15" s="11"/>
      <c r="IE15" s="11"/>
      <c r="IF15" s="11"/>
      <c r="IG15" s="11"/>
      <c r="IH15" s="11"/>
      <c r="II15" s="11"/>
      <c r="IJ15" s="11"/>
      <c r="IK15" s="11"/>
      <c r="IL15" s="14"/>
      <c r="IM15" s="14"/>
      <c r="IN15" s="14"/>
      <c r="IO15" s="14"/>
      <c r="IP15" s="14"/>
      <c r="IQ15" s="14"/>
      <c r="IR15" s="14"/>
      <c r="IS15" s="14"/>
      <c r="IT15" s="14"/>
      <c r="IU15" s="14"/>
      <c r="IV15" s="14"/>
      <c r="IW15" s="14"/>
      <c r="IX15" s="14"/>
      <c r="IY15" s="14"/>
      <c r="IZ15" s="14"/>
      <c r="JA15" s="14">
        <v>82.051000000000002</v>
      </c>
      <c r="JB15" s="14">
        <v>82.046999999999997</v>
      </c>
      <c r="JC15" s="14">
        <v>82.043999999999997</v>
      </c>
      <c r="JD15" s="14">
        <v>82.049000000000007</v>
      </c>
      <c r="JE15" s="14">
        <v>82.045000000000002</v>
      </c>
      <c r="JF15" s="14"/>
      <c r="JG15" s="14"/>
      <c r="JH15" s="14"/>
      <c r="JI15" s="14"/>
      <c r="JJ15" s="14"/>
      <c r="JK15" s="14">
        <v>82.040999999999997</v>
      </c>
      <c r="JL15" s="14">
        <v>82.043999999999997</v>
      </c>
      <c r="JM15" s="14">
        <v>82.046000000000006</v>
      </c>
      <c r="JN15" s="14">
        <v>82.048000000000002</v>
      </c>
      <c r="JO15" s="14">
        <v>82.039000000000001</v>
      </c>
      <c r="JP15" s="14"/>
      <c r="JQ15" s="14"/>
      <c r="JR15" s="14"/>
      <c r="JS15" s="14"/>
      <c r="JT15" s="14"/>
      <c r="JU15" s="14">
        <v>82.034000000000006</v>
      </c>
      <c r="JV15" s="14">
        <v>82.028999999999996</v>
      </c>
      <c r="JW15" s="14">
        <v>82.031000000000006</v>
      </c>
      <c r="JX15" s="14">
        <v>82.042000000000002</v>
      </c>
      <c r="JY15" s="14">
        <v>82.046000000000006</v>
      </c>
      <c r="JZ15" s="14"/>
      <c r="KA15" s="14"/>
      <c r="KB15" s="14"/>
      <c r="KC15" s="14"/>
      <c r="KD15" s="14"/>
      <c r="KE15" s="14">
        <v>82.051000000000002</v>
      </c>
      <c r="KF15" s="14">
        <v>82.046999999999997</v>
      </c>
      <c r="KG15" s="14">
        <v>82.039000000000001</v>
      </c>
      <c r="KH15" s="14">
        <v>82.037000000000006</v>
      </c>
      <c r="KI15" s="14">
        <v>82.040999999999997</v>
      </c>
      <c r="KJ15" s="14"/>
      <c r="KK15" s="14"/>
      <c r="KL15" s="14"/>
      <c r="KM15" s="14"/>
      <c r="KN15" s="14"/>
      <c r="KO15" s="14"/>
      <c r="KP15" s="14"/>
      <c r="KQ15" s="14"/>
      <c r="KR15" s="14"/>
      <c r="KS15" s="14"/>
      <c r="KT15" s="14"/>
      <c r="KU15" s="14"/>
      <c r="KV15" s="14"/>
      <c r="KW15" s="14"/>
      <c r="KX15" s="14"/>
      <c r="KY15" s="14"/>
      <c r="KZ15" s="14"/>
      <c r="LA15" s="14"/>
      <c r="LB15" s="14"/>
      <c r="LC15" s="14"/>
      <c r="LD15" s="14"/>
      <c r="LE15" s="14"/>
      <c r="LF15" s="14"/>
      <c r="LG15" s="14"/>
      <c r="LH15" s="14"/>
      <c r="LI15" s="14"/>
      <c r="LJ15" s="14"/>
      <c r="LK15" s="14"/>
      <c r="LL15" s="14"/>
      <c r="LM15" s="14"/>
      <c r="LN15" s="22"/>
      <c r="LO15" s="6"/>
      <c r="LP15" s="21"/>
      <c r="LQ15" s="7"/>
      <c r="LR15" s="7"/>
      <c r="LS15" s="7"/>
      <c r="LT15" s="7"/>
    </row>
    <row r="16" spans="1:337">
      <c r="A16" s="21" t="s">
        <v>30</v>
      </c>
      <c r="B16" s="21" t="s">
        <v>31</v>
      </c>
      <c r="C16" s="21" t="s">
        <v>32</v>
      </c>
      <c r="D16" s="21" t="s">
        <v>35</v>
      </c>
      <c r="E16" s="5">
        <v>82.07</v>
      </c>
      <c r="F16" s="5">
        <v>82.02</v>
      </c>
      <c r="G16" s="5">
        <f t="shared" si="0"/>
        <v>82.044999999999987</v>
      </c>
      <c r="H16" s="7"/>
      <c r="I16" s="7"/>
      <c r="J16" s="7"/>
      <c r="K16" s="7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>
        <v>82.024000000000001</v>
      </c>
      <c r="BF16" s="5">
        <v>82.021000000000001</v>
      </c>
      <c r="BG16" s="5">
        <v>82.022000000000006</v>
      </c>
      <c r="BH16" s="5">
        <v>82.021000000000001</v>
      </c>
      <c r="BI16" s="5">
        <v>82.022999999999996</v>
      </c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13"/>
      <c r="HR16" s="14"/>
      <c r="HS16" s="14"/>
      <c r="HT16" s="14"/>
      <c r="HU16" s="14"/>
      <c r="HV16" s="14"/>
      <c r="HW16" s="14"/>
      <c r="HX16" s="14"/>
      <c r="HY16" s="14"/>
      <c r="HZ16" s="14"/>
      <c r="IA16" s="14"/>
      <c r="IB16" s="11"/>
      <c r="IC16" s="11"/>
      <c r="ID16" s="11"/>
      <c r="IE16" s="11"/>
      <c r="IF16" s="11"/>
      <c r="IG16" s="11"/>
      <c r="IH16" s="11"/>
      <c r="II16" s="11"/>
      <c r="IJ16" s="11"/>
      <c r="IK16" s="11"/>
      <c r="IL16" s="14"/>
      <c r="IM16" s="14"/>
      <c r="IN16" s="14"/>
      <c r="IO16" s="14"/>
      <c r="IP16" s="14"/>
      <c r="IQ16" s="14"/>
      <c r="IR16" s="14"/>
      <c r="IS16" s="14"/>
      <c r="IT16" s="14"/>
      <c r="IU16" s="14"/>
      <c r="IV16" s="14"/>
      <c r="IW16" s="14"/>
      <c r="IX16" s="14"/>
      <c r="IY16" s="14"/>
      <c r="IZ16" s="14"/>
      <c r="JA16" s="14"/>
      <c r="JB16" s="14"/>
      <c r="JC16" s="14"/>
      <c r="JD16" s="14"/>
      <c r="JE16" s="14"/>
      <c r="JF16" s="14"/>
      <c r="JG16" s="14"/>
      <c r="JH16" s="14"/>
      <c r="JI16" s="14"/>
      <c r="JJ16" s="14"/>
      <c r="JK16" s="14"/>
      <c r="JL16" s="14"/>
      <c r="JM16" s="14"/>
      <c r="JN16" s="14"/>
      <c r="JO16" s="14"/>
      <c r="JP16" s="14"/>
      <c r="JQ16" s="14"/>
      <c r="JR16" s="14"/>
      <c r="JS16" s="14"/>
      <c r="JT16" s="14"/>
      <c r="JU16" s="14"/>
      <c r="JV16" s="14"/>
      <c r="JW16" s="14"/>
      <c r="JX16" s="14"/>
      <c r="JY16" s="14"/>
      <c r="JZ16" s="14"/>
      <c r="KA16" s="14"/>
      <c r="KB16" s="14"/>
      <c r="KC16" s="14"/>
      <c r="KD16" s="14"/>
      <c r="KE16" s="14"/>
      <c r="KF16" s="14"/>
      <c r="KG16" s="14"/>
      <c r="KH16" s="14"/>
      <c r="KI16" s="14"/>
      <c r="KJ16" s="14"/>
      <c r="KK16" s="14"/>
      <c r="KL16" s="14"/>
      <c r="KM16" s="14"/>
      <c r="KN16" s="14"/>
      <c r="KO16" s="14"/>
      <c r="KP16" s="14"/>
      <c r="KQ16" s="14"/>
      <c r="KR16" s="14"/>
      <c r="KS16" s="14"/>
      <c r="KT16" s="14"/>
      <c r="KU16" s="14"/>
      <c r="KV16" s="14"/>
      <c r="KW16" s="14"/>
      <c r="KX16" s="14"/>
      <c r="KY16" s="14"/>
      <c r="KZ16" s="14"/>
      <c r="LA16" s="14"/>
      <c r="LB16" s="14"/>
      <c r="LC16" s="14"/>
      <c r="LD16" s="14"/>
      <c r="LE16" s="14"/>
      <c r="LF16" s="14"/>
      <c r="LG16" s="14"/>
      <c r="LH16" s="14"/>
      <c r="LI16" s="14"/>
      <c r="LJ16" s="14"/>
      <c r="LK16" s="14"/>
      <c r="LL16" s="14"/>
      <c r="LM16" s="14"/>
      <c r="LN16" s="22">
        <f t="shared" ref="LN16:LN50" si="1">COUNT(L18:CH18)</f>
        <v>25</v>
      </c>
      <c r="LO16" s="6">
        <f t="shared" ref="LO16:LO50" si="2">AVERAGE(L18:CH18)</f>
        <v>48.306479999999986</v>
      </c>
      <c r="LP16" s="21">
        <f t="shared" ref="LP16:LP50" si="3">STDEVA(L18:CH18)</f>
        <v>2.8884828774518433E-3</v>
      </c>
      <c r="LQ16" s="7">
        <f t="shared" ref="LQ16:LQ50" si="4">(E18-F18)/(6*LP16)</f>
        <v>1.7310125114575996</v>
      </c>
      <c r="LR16" s="7">
        <f t="shared" ref="LR16:LR50" si="5">(E18-LO16)/(3*LP16)</f>
        <v>2.7142276179667957</v>
      </c>
      <c r="LS16" s="7">
        <f t="shared" ref="LS16:LS33" si="6">(LO16-F18)/(3*LP16)</f>
        <v>0.74779740494840397</v>
      </c>
      <c r="LT16" s="7">
        <f t="shared" ref="LT16:LT79" si="7">MIN(LR16:LS16)</f>
        <v>0.74779740494840397</v>
      </c>
      <c r="LU16" s="48"/>
      <c r="LV16" s="48"/>
      <c r="LW16" s="48"/>
      <c r="LX16" s="48"/>
      <c r="LY16" t="s">
        <v>128</v>
      </c>
    </row>
    <row r="17" spans="1:337">
      <c r="A17" s="21" t="s">
        <v>30</v>
      </c>
      <c r="B17" s="21" t="s">
        <v>31</v>
      </c>
      <c r="C17" s="21" t="s">
        <v>32</v>
      </c>
      <c r="D17" s="21" t="s">
        <v>35</v>
      </c>
      <c r="E17" s="10"/>
      <c r="F17" s="10"/>
      <c r="G17" s="5"/>
      <c r="H17" s="7"/>
      <c r="I17" s="7"/>
      <c r="J17" s="7"/>
      <c r="K17" s="7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>
        <v>12.067</v>
      </c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13"/>
      <c r="HR17" s="14"/>
      <c r="HS17" s="14"/>
      <c r="HT17" s="14"/>
      <c r="HU17" s="14"/>
      <c r="HV17" s="14"/>
      <c r="HW17" s="14"/>
      <c r="HX17" s="14"/>
      <c r="HY17" s="14"/>
      <c r="HZ17" s="14"/>
      <c r="IA17" s="14"/>
      <c r="IB17" s="11"/>
      <c r="IC17" s="11"/>
      <c r="ID17" s="11"/>
      <c r="IE17" s="11"/>
      <c r="IF17" s="11"/>
      <c r="IG17" s="11"/>
      <c r="IH17" s="11"/>
      <c r="II17" s="11"/>
      <c r="IJ17" s="11"/>
      <c r="IK17" s="11"/>
      <c r="IL17" s="14"/>
      <c r="IM17" s="14"/>
      <c r="IN17" s="14"/>
      <c r="IO17" s="14"/>
      <c r="IP17" s="14"/>
      <c r="IQ17" s="14"/>
      <c r="IR17" s="14"/>
      <c r="IS17" s="14"/>
      <c r="IT17" s="14"/>
      <c r="IU17" s="14"/>
      <c r="IV17" s="14"/>
      <c r="IW17" s="14"/>
      <c r="IX17" s="14"/>
      <c r="IY17" s="14"/>
      <c r="IZ17" s="14"/>
      <c r="JA17" s="14"/>
      <c r="JB17" s="14"/>
      <c r="JC17" s="14"/>
      <c r="JD17" s="14"/>
      <c r="JE17" s="14"/>
      <c r="JF17" s="14"/>
      <c r="JG17" s="14"/>
      <c r="JH17" s="14"/>
      <c r="JI17" s="14"/>
      <c r="JJ17" s="14"/>
      <c r="JK17" s="14"/>
      <c r="JL17" s="14"/>
      <c r="JM17" s="14"/>
      <c r="JN17" s="14"/>
      <c r="JO17" s="14"/>
      <c r="JP17" s="14"/>
      <c r="JQ17" s="14"/>
      <c r="JR17" s="14"/>
      <c r="JS17" s="14"/>
      <c r="JT17" s="14"/>
      <c r="JU17" s="14"/>
      <c r="JV17" s="14"/>
      <c r="JW17" s="14"/>
      <c r="JX17" s="14"/>
      <c r="JY17" s="14"/>
      <c r="JZ17" s="14"/>
      <c r="KA17" s="14"/>
      <c r="KB17" s="14"/>
      <c r="KC17" s="14"/>
      <c r="KD17" s="14"/>
      <c r="KE17" s="14"/>
      <c r="KF17" s="14"/>
      <c r="KG17" s="14"/>
      <c r="KH17" s="14"/>
      <c r="KI17" s="14"/>
      <c r="KJ17" s="14"/>
      <c r="KK17" s="14"/>
      <c r="KL17" s="14"/>
      <c r="KM17" s="14"/>
      <c r="KN17" s="14"/>
      <c r="KO17" s="14"/>
      <c r="KP17" s="14"/>
      <c r="KQ17" s="14"/>
      <c r="KR17" s="14"/>
      <c r="KS17" s="14"/>
      <c r="KT17" s="14"/>
      <c r="KU17" s="14"/>
      <c r="KV17" s="14"/>
      <c r="KW17" s="14"/>
      <c r="KX17" s="14"/>
      <c r="KY17" s="14"/>
      <c r="KZ17" s="14"/>
      <c r="LA17" s="14"/>
      <c r="LB17" s="14"/>
      <c r="LC17" s="14"/>
      <c r="LD17" s="14"/>
      <c r="LE17" s="14"/>
      <c r="LF17" s="14"/>
      <c r="LG17" s="14"/>
      <c r="LH17" s="14"/>
      <c r="LI17" s="14"/>
      <c r="LJ17" s="14"/>
      <c r="LK17" s="14"/>
      <c r="LL17" s="14"/>
      <c r="LM17" s="14"/>
      <c r="LN17" s="22">
        <f t="shared" si="1"/>
        <v>10</v>
      </c>
      <c r="LO17" s="6">
        <f t="shared" si="2"/>
        <v>14.039899999999999</v>
      </c>
      <c r="LP17" s="21">
        <f t="shared" si="3"/>
        <v>2.8067379246695416E-3</v>
      </c>
      <c r="LQ17" s="7">
        <f t="shared" si="4"/>
        <v>1.0688564734284292</v>
      </c>
      <c r="LR17" s="7">
        <f t="shared" si="5"/>
        <v>1.1994944868475719</v>
      </c>
      <c r="LS17" s="7">
        <f t="shared" si="6"/>
        <v>0.93821846000928633</v>
      </c>
      <c r="LT17" s="7">
        <f t="shared" si="7"/>
        <v>0.93821846000928633</v>
      </c>
      <c r="LU17" s="48"/>
      <c r="LV17" s="48"/>
      <c r="LW17" s="48"/>
      <c r="LX17" s="48"/>
    </row>
    <row r="18" spans="1:337">
      <c r="A18" s="21" t="s">
        <v>30</v>
      </c>
      <c r="B18" s="21" t="s">
        <v>31</v>
      </c>
      <c r="C18" s="21" t="s">
        <v>32</v>
      </c>
      <c r="D18" s="21" t="s">
        <v>36</v>
      </c>
      <c r="E18" s="5">
        <v>48.33</v>
      </c>
      <c r="F18" s="5">
        <v>48.3</v>
      </c>
      <c r="G18" s="5">
        <f t="shared" si="0"/>
        <v>48.314999999999998</v>
      </c>
      <c r="H18" s="7"/>
      <c r="I18" s="7"/>
      <c r="J18" s="7"/>
      <c r="K18" s="7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>
        <v>48.305</v>
      </c>
      <c r="AG18" s="5">
        <v>48.302</v>
      </c>
      <c r="AH18" s="5">
        <v>48.304000000000002</v>
      </c>
      <c r="AI18" s="5">
        <v>48.305999999999997</v>
      </c>
      <c r="AJ18" s="5">
        <v>48.308999999999997</v>
      </c>
      <c r="AK18" s="5"/>
      <c r="AL18" s="5"/>
      <c r="AM18" s="5"/>
      <c r="AN18" s="5"/>
      <c r="AO18" s="5"/>
      <c r="AP18" s="5">
        <v>48.307000000000002</v>
      </c>
      <c r="AQ18" s="5">
        <v>48.308</v>
      </c>
      <c r="AR18" s="5">
        <v>48.305999999999997</v>
      </c>
      <c r="AS18" s="5">
        <v>48.308</v>
      </c>
      <c r="AT18" s="5">
        <v>48.314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>
        <v>48.304000000000002</v>
      </c>
      <c r="BF18" s="5">
        <v>48.307000000000002</v>
      </c>
      <c r="BG18" s="5">
        <v>48.31</v>
      </c>
      <c r="BH18" s="5">
        <v>48.304000000000002</v>
      </c>
      <c r="BI18" s="5">
        <v>48.305</v>
      </c>
      <c r="BJ18" s="5"/>
      <c r="BK18" s="5"/>
      <c r="BL18" s="5"/>
      <c r="BM18" s="5"/>
      <c r="BN18" s="5"/>
      <c r="BO18" s="5">
        <v>48.307000000000002</v>
      </c>
      <c r="BP18" s="5">
        <v>48.308999999999997</v>
      </c>
      <c r="BQ18" s="5">
        <v>48.305</v>
      </c>
      <c r="BR18" s="5">
        <v>48.305999999999997</v>
      </c>
      <c r="BS18" s="5">
        <v>48.308</v>
      </c>
      <c r="BT18" s="5"/>
      <c r="BU18" s="5"/>
      <c r="BV18" s="5"/>
      <c r="BW18" s="5"/>
      <c r="BX18" s="5"/>
      <c r="BY18" s="5">
        <v>48.305</v>
      </c>
      <c r="BZ18" s="5">
        <v>48.302999999999997</v>
      </c>
      <c r="CA18" s="5">
        <v>48.302</v>
      </c>
      <c r="CB18" s="5">
        <v>48.305999999999997</v>
      </c>
      <c r="CC18" s="5">
        <v>48.311999999999998</v>
      </c>
      <c r="CD18" s="5"/>
      <c r="CE18" s="5"/>
      <c r="CF18" s="5"/>
      <c r="CG18" s="5"/>
      <c r="CH18" s="5"/>
      <c r="CI18" s="5">
        <v>48.308999999999997</v>
      </c>
      <c r="CJ18" s="5">
        <v>48.308</v>
      </c>
      <c r="CK18" s="5">
        <v>48.311999999999998</v>
      </c>
      <c r="CL18" s="5">
        <v>48.314</v>
      </c>
      <c r="CM18" s="5">
        <v>48.316000000000003</v>
      </c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>
        <v>48.311999999999998</v>
      </c>
      <c r="HQ18" s="13">
        <v>48.317</v>
      </c>
      <c r="HR18" s="14">
        <v>48.314</v>
      </c>
      <c r="HS18" s="14">
        <v>48.307000000000002</v>
      </c>
      <c r="HT18" s="14">
        <v>48.308999999999997</v>
      </c>
      <c r="HU18" s="14"/>
      <c r="HV18" s="14"/>
      <c r="HW18" s="14"/>
      <c r="HX18" s="14"/>
      <c r="HY18" s="14"/>
      <c r="HZ18" s="14"/>
      <c r="IA18" s="14"/>
      <c r="IB18" s="11"/>
      <c r="IC18" s="11"/>
      <c r="ID18" s="11"/>
      <c r="IE18" s="11"/>
      <c r="IF18" s="11"/>
      <c r="IG18" s="11"/>
      <c r="IH18" s="11"/>
      <c r="II18" s="11"/>
      <c r="IJ18" s="11"/>
      <c r="IK18" s="11"/>
      <c r="IL18" s="14"/>
      <c r="IM18" s="14"/>
      <c r="IN18" s="14"/>
      <c r="IO18" s="14"/>
      <c r="IP18" s="14"/>
      <c r="IQ18" s="14"/>
      <c r="IR18" s="14"/>
      <c r="IS18" s="14"/>
      <c r="IT18" s="14"/>
      <c r="IU18" s="14"/>
      <c r="IV18" s="14"/>
      <c r="IW18" s="14"/>
      <c r="IX18" s="14"/>
      <c r="IY18" s="14"/>
      <c r="IZ18" s="14"/>
      <c r="JA18" s="14">
        <v>48.311</v>
      </c>
      <c r="JB18" s="14">
        <v>48.314</v>
      </c>
      <c r="JC18" s="14">
        <v>48.317</v>
      </c>
      <c r="JD18" s="14">
        <v>48.91</v>
      </c>
      <c r="JE18" s="14">
        <v>48.308</v>
      </c>
      <c r="JF18" s="14"/>
      <c r="JG18" s="14"/>
      <c r="JH18" s="14"/>
      <c r="JI18" s="14"/>
      <c r="JJ18" s="14"/>
      <c r="JK18" s="14">
        <v>48.307000000000002</v>
      </c>
      <c r="JL18" s="14">
        <v>48.308999999999997</v>
      </c>
      <c r="JM18" s="14">
        <v>48.311999999999998</v>
      </c>
      <c r="JN18" s="14">
        <v>48.31</v>
      </c>
      <c r="JO18" s="14">
        <v>48.314</v>
      </c>
      <c r="JP18" s="14"/>
      <c r="JQ18" s="14"/>
      <c r="JR18" s="14"/>
      <c r="JS18" s="14"/>
      <c r="JT18" s="14"/>
      <c r="JU18" s="14">
        <v>48.308</v>
      </c>
      <c r="JV18" s="14">
        <v>48.316000000000003</v>
      </c>
      <c r="JW18" s="14">
        <v>48.317999999999998</v>
      </c>
      <c r="JX18" s="14">
        <v>48.314</v>
      </c>
      <c r="JY18" s="14">
        <v>48.316000000000003</v>
      </c>
      <c r="JZ18" s="14"/>
      <c r="KA18" s="14"/>
      <c r="KB18" s="14"/>
      <c r="KC18" s="14"/>
      <c r="KD18" s="14"/>
      <c r="KE18" s="14">
        <v>48.308</v>
      </c>
      <c r="KF18" s="14">
        <v>48.311</v>
      </c>
      <c r="KG18" s="14">
        <v>48.305999999999997</v>
      </c>
      <c r="KH18" s="14">
        <v>48.314</v>
      </c>
      <c r="KI18" s="14">
        <v>48.31</v>
      </c>
      <c r="KJ18" s="14"/>
      <c r="KK18" s="14"/>
      <c r="KL18" s="14"/>
      <c r="KM18" s="14"/>
      <c r="KN18" s="14"/>
      <c r="KO18" s="14"/>
      <c r="KP18" s="14"/>
      <c r="KQ18" s="14"/>
      <c r="KR18" s="14"/>
      <c r="KS18" s="14"/>
      <c r="KT18" s="14"/>
      <c r="KU18" s="14"/>
      <c r="KV18" s="14"/>
      <c r="KW18" s="14"/>
      <c r="KX18" s="14"/>
      <c r="KY18" s="14"/>
      <c r="KZ18" s="14"/>
      <c r="LA18" s="14"/>
      <c r="LB18" s="14"/>
      <c r="LC18" s="14"/>
      <c r="LD18" s="14"/>
      <c r="LE18" s="14"/>
      <c r="LF18" s="14"/>
      <c r="LG18" s="14"/>
      <c r="LH18" s="14"/>
      <c r="LI18" s="14"/>
      <c r="LJ18" s="14"/>
      <c r="LK18" s="14"/>
      <c r="LL18" s="14"/>
      <c r="LM18" s="14"/>
      <c r="LN18" s="22">
        <f t="shared" si="1"/>
        <v>10</v>
      </c>
      <c r="LO18" s="6">
        <f t="shared" si="2"/>
        <v>261.71100000000001</v>
      </c>
      <c r="LP18" s="21">
        <f t="shared" si="3"/>
        <v>1.9119507199607703E-2</v>
      </c>
      <c r="LQ18" s="7">
        <f t="shared" si="4"/>
        <v>0.87171005469235896</v>
      </c>
      <c r="LR18" s="7">
        <f t="shared" si="5"/>
        <v>0.85427585359842262</v>
      </c>
      <c r="LS18" s="7">
        <f t="shared" si="6"/>
        <v>0.8891442557862953</v>
      </c>
      <c r="LT18" s="7">
        <f t="shared" si="7"/>
        <v>0.85427585359842262</v>
      </c>
      <c r="LU18" s="48"/>
      <c r="LV18" s="48"/>
      <c r="LW18" s="48"/>
      <c r="LX18" s="48"/>
    </row>
    <row r="19" spans="1:337">
      <c r="A19" s="21" t="s">
        <v>30</v>
      </c>
      <c r="B19" s="21" t="s">
        <v>31</v>
      </c>
      <c r="C19" s="21" t="s">
        <v>40</v>
      </c>
      <c r="D19" s="21" t="s">
        <v>38</v>
      </c>
      <c r="E19" s="5">
        <v>14.05</v>
      </c>
      <c r="F19" s="5">
        <v>14.032</v>
      </c>
      <c r="G19" s="5">
        <f t="shared" si="0"/>
        <v>14.041</v>
      </c>
      <c r="H19" s="7"/>
      <c r="I19" s="7"/>
      <c r="J19" s="7"/>
      <c r="K19" s="7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>
        <v>14.042999999999999</v>
      </c>
      <c r="BP19" s="5">
        <v>14.038</v>
      </c>
      <c r="BQ19" s="5">
        <v>14.036</v>
      </c>
      <c r="BR19" s="5">
        <v>14.041</v>
      </c>
      <c r="BS19" s="5">
        <v>14.04</v>
      </c>
      <c r="BT19" s="5"/>
      <c r="BU19" s="5"/>
      <c r="BV19" s="5"/>
      <c r="BW19" s="5"/>
      <c r="BX19" s="5"/>
      <c r="BY19" s="5">
        <v>14.042</v>
      </c>
      <c r="BZ19" s="5">
        <v>14.038</v>
      </c>
      <c r="CA19" s="5">
        <v>14.036</v>
      </c>
      <c r="CB19" s="5">
        <v>14.044</v>
      </c>
      <c r="CC19" s="5">
        <v>14.041</v>
      </c>
      <c r="CD19" s="5"/>
      <c r="CE19" s="5"/>
      <c r="CF19" s="5"/>
      <c r="CG19" s="5"/>
      <c r="CH19" s="5"/>
      <c r="CI19" s="5">
        <v>14.044</v>
      </c>
      <c r="CJ19" s="5">
        <v>14.042</v>
      </c>
      <c r="CK19" s="5">
        <v>14.045</v>
      </c>
      <c r="CL19" s="5">
        <v>14.038</v>
      </c>
      <c r="CM19" s="5">
        <v>14.041</v>
      </c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>
        <v>14.044</v>
      </c>
      <c r="CY19" s="5">
        <v>14.04</v>
      </c>
      <c r="CZ19" s="5">
        <v>14.035</v>
      </c>
      <c r="DA19" s="5">
        <v>14.038</v>
      </c>
      <c r="DB19" s="5">
        <v>14.039</v>
      </c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13"/>
      <c r="HR19" s="14"/>
      <c r="HS19" s="14"/>
      <c r="HT19" s="14"/>
      <c r="HU19" s="14"/>
      <c r="HV19" s="14"/>
      <c r="HW19" s="14"/>
      <c r="HX19" s="14"/>
      <c r="HY19" s="14"/>
      <c r="HZ19" s="14"/>
      <c r="IA19" s="14"/>
      <c r="IB19" s="11"/>
      <c r="IC19" s="11"/>
      <c r="ID19" s="11"/>
      <c r="IE19" s="11"/>
      <c r="IF19" s="11"/>
      <c r="IG19" s="11"/>
      <c r="IH19" s="11"/>
      <c r="II19" s="11"/>
      <c r="IJ19" s="11"/>
      <c r="IK19" s="11"/>
      <c r="IL19" s="14"/>
      <c r="IM19" s="14"/>
      <c r="IN19" s="14"/>
      <c r="IO19" s="14"/>
      <c r="IP19" s="14"/>
      <c r="IQ19" s="14"/>
      <c r="IR19" s="14"/>
      <c r="IS19" s="14"/>
      <c r="IT19" s="14"/>
      <c r="IU19" s="14"/>
      <c r="IV19" s="14"/>
      <c r="IW19" s="14"/>
      <c r="IX19" s="14"/>
      <c r="IY19" s="14"/>
      <c r="IZ19" s="14"/>
      <c r="JA19" s="14">
        <v>14.044</v>
      </c>
      <c r="JB19" s="14">
        <v>14.039</v>
      </c>
      <c r="JC19" s="14">
        <v>14.041</v>
      </c>
      <c r="JD19" s="14">
        <v>14.042</v>
      </c>
      <c r="JE19" s="14">
        <v>14.04</v>
      </c>
      <c r="JF19" s="14"/>
      <c r="JG19" s="14"/>
      <c r="JH19" s="14"/>
      <c r="JI19" s="14"/>
      <c r="JJ19" s="14"/>
      <c r="JK19" s="14">
        <v>14.039</v>
      </c>
      <c r="JL19" s="14">
        <v>14.042</v>
      </c>
      <c r="JM19" s="14">
        <v>14.042999999999999</v>
      </c>
      <c r="JN19" s="14">
        <v>14.044</v>
      </c>
      <c r="JO19" s="14">
        <v>14.041</v>
      </c>
      <c r="JP19" s="14"/>
      <c r="JQ19" s="14"/>
      <c r="JR19" s="14"/>
      <c r="JS19" s="14"/>
      <c r="JT19" s="14"/>
      <c r="JU19" s="14">
        <v>14.036</v>
      </c>
      <c r="JV19" s="14">
        <v>14.042</v>
      </c>
      <c r="JW19" s="14">
        <v>14.044</v>
      </c>
      <c r="JX19" s="14">
        <v>14.041</v>
      </c>
      <c r="JY19" s="14">
        <v>14.04</v>
      </c>
      <c r="JZ19" s="14"/>
      <c r="KA19" s="14"/>
      <c r="KB19" s="14"/>
      <c r="KC19" s="14"/>
      <c r="KD19" s="14"/>
      <c r="KE19" s="14">
        <v>14.038</v>
      </c>
      <c r="KF19" s="14">
        <v>14.042</v>
      </c>
      <c r="KG19" s="14">
        <v>14.044</v>
      </c>
      <c r="KH19" s="14">
        <v>14.042</v>
      </c>
      <c r="KI19" s="14">
        <v>14.045999999999999</v>
      </c>
      <c r="KJ19" s="14"/>
      <c r="KK19" s="14"/>
      <c r="KL19" s="14"/>
      <c r="KM19" s="14"/>
      <c r="KN19" s="14"/>
      <c r="KO19" s="14"/>
      <c r="KP19" s="14"/>
      <c r="KQ19" s="14"/>
      <c r="KR19" s="14"/>
      <c r="KS19" s="14"/>
      <c r="KT19" s="14"/>
      <c r="KU19" s="14"/>
      <c r="KV19" s="14"/>
      <c r="KW19" s="14"/>
      <c r="KX19" s="14"/>
      <c r="KY19" s="14"/>
      <c r="KZ19" s="14"/>
      <c r="LA19" s="14"/>
      <c r="LB19" s="14"/>
      <c r="LC19" s="14"/>
      <c r="LD19" s="14"/>
      <c r="LE19" s="14"/>
      <c r="LF19" s="14"/>
      <c r="LG19" s="14"/>
      <c r="LH19" s="14"/>
      <c r="LI19" s="14"/>
      <c r="LJ19" s="14"/>
      <c r="LK19" s="14"/>
      <c r="LL19" s="14"/>
      <c r="LM19" s="14"/>
      <c r="LN19" s="22">
        <f t="shared" si="1"/>
        <v>15</v>
      </c>
      <c r="LO19" s="6">
        <f t="shared" si="2"/>
        <v>14.038066666666664</v>
      </c>
      <c r="LP19" s="21">
        <f t="shared" si="3"/>
        <v>3.8446004188928775E-3</v>
      </c>
      <c r="LQ19" s="7">
        <f t="shared" si="4"/>
        <v>0.78031516233981424</v>
      </c>
      <c r="LR19" s="7">
        <f t="shared" si="5"/>
        <v>1.0346401041397277</v>
      </c>
      <c r="LS19" s="7">
        <f t="shared" si="6"/>
        <v>0.52599022053990074</v>
      </c>
      <c r="LT19" s="7">
        <f>MIN(LR19:LS19)</f>
        <v>0.52599022053990074</v>
      </c>
      <c r="LU19" s="48"/>
      <c r="LV19" s="48"/>
      <c r="LW19" s="48"/>
      <c r="LX19" s="48"/>
    </row>
    <row r="20" spans="1:337">
      <c r="A20" s="21" t="s">
        <v>30</v>
      </c>
      <c r="B20" s="21" t="s">
        <v>31</v>
      </c>
      <c r="C20" s="21" t="s">
        <v>40</v>
      </c>
      <c r="D20" s="21" t="s">
        <v>39</v>
      </c>
      <c r="E20" s="8">
        <v>261.76</v>
      </c>
      <c r="F20" s="8">
        <v>261.66000000000003</v>
      </c>
      <c r="G20" s="8">
        <f t="shared" si="0"/>
        <v>261.71000000000004</v>
      </c>
      <c r="H20" s="7"/>
      <c r="I20" s="7"/>
      <c r="J20" s="7"/>
      <c r="K20" s="7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>
        <v>261.68</v>
      </c>
      <c r="BP20" s="5">
        <v>261.7</v>
      </c>
      <c r="BQ20" s="5">
        <v>261.69</v>
      </c>
      <c r="BR20" s="5">
        <v>261.74</v>
      </c>
      <c r="BS20" s="5">
        <v>261.70999999999998</v>
      </c>
      <c r="BT20" s="5"/>
      <c r="BU20" s="5"/>
      <c r="BV20" s="5"/>
      <c r="BW20" s="5"/>
      <c r="BX20" s="5"/>
      <c r="BY20" s="5">
        <v>261.70999999999998</v>
      </c>
      <c r="BZ20" s="5">
        <v>261.7</v>
      </c>
      <c r="CA20" s="5">
        <v>261.72000000000003</v>
      </c>
      <c r="CB20" s="5">
        <v>261.73</v>
      </c>
      <c r="CC20" s="5">
        <v>261.73</v>
      </c>
      <c r="CD20" s="5"/>
      <c r="CE20" s="5"/>
      <c r="CF20" s="5"/>
      <c r="CG20" s="5"/>
      <c r="CH20" s="5"/>
      <c r="CI20" s="5">
        <v>261.68</v>
      </c>
      <c r="CJ20" s="5">
        <v>261.72000000000003</v>
      </c>
      <c r="CK20" s="5">
        <v>261.73</v>
      </c>
      <c r="CL20" s="5">
        <v>261.70999999999998</v>
      </c>
      <c r="CM20" s="5">
        <v>261.73</v>
      </c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>
        <v>261.74</v>
      </c>
      <c r="CY20" s="5">
        <v>261.7</v>
      </c>
      <c r="CZ20" s="5">
        <v>261.69</v>
      </c>
      <c r="DA20" s="5">
        <v>261.70999999999998</v>
      </c>
      <c r="DB20" s="5">
        <v>261.7</v>
      </c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13"/>
      <c r="HR20" s="14"/>
      <c r="HS20" s="14"/>
      <c r="HT20" s="14"/>
      <c r="HU20" s="14"/>
      <c r="HV20" s="14"/>
      <c r="HW20" s="14"/>
      <c r="HX20" s="14"/>
      <c r="HY20" s="14"/>
      <c r="HZ20" s="14"/>
      <c r="IA20" s="14"/>
      <c r="IB20" s="11"/>
      <c r="IC20" s="11"/>
      <c r="ID20" s="11"/>
      <c r="IE20" s="11"/>
      <c r="IF20" s="11"/>
      <c r="IG20" s="11"/>
      <c r="IH20" s="11"/>
      <c r="II20" s="11"/>
      <c r="IJ20" s="11"/>
      <c r="IK20" s="11"/>
      <c r="IL20" s="14"/>
      <c r="IM20" s="14"/>
      <c r="IN20" s="14"/>
      <c r="IO20" s="14"/>
      <c r="IP20" s="14"/>
      <c r="IQ20" s="14"/>
      <c r="IR20" s="14"/>
      <c r="IS20" s="14"/>
      <c r="IT20" s="14"/>
      <c r="IU20" s="14"/>
      <c r="IV20" s="14"/>
      <c r="IW20" s="14"/>
      <c r="IX20" s="14"/>
      <c r="IY20" s="14"/>
      <c r="IZ20" s="14"/>
      <c r="JA20" s="14">
        <v>261.685</v>
      </c>
      <c r="JB20" s="14">
        <v>261.67500000000001</v>
      </c>
      <c r="JC20" s="14">
        <v>261.72500000000002</v>
      </c>
      <c r="JD20" s="14">
        <v>261.71499999999997</v>
      </c>
      <c r="JE20" s="14">
        <v>261.69499999999999</v>
      </c>
      <c r="JF20" s="14"/>
      <c r="JG20" s="14"/>
      <c r="JH20" s="14"/>
      <c r="JI20" s="14"/>
      <c r="JJ20" s="14"/>
      <c r="JK20" s="14">
        <v>261.77499999999998</v>
      </c>
      <c r="JL20" s="14">
        <v>261.76</v>
      </c>
      <c r="JM20" s="14">
        <v>261.68</v>
      </c>
      <c r="JN20" s="14">
        <v>261.70499999999998</v>
      </c>
      <c r="JO20" s="14">
        <v>261.66500000000002</v>
      </c>
      <c r="JP20" s="14"/>
      <c r="JQ20" s="14"/>
      <c r="JR20" s="14"/>
      <c r="JS20" s="14"/>
      <c r="JT20" s="14"/>
      <c r="JU20" s="14">
        <v>261.75</v>
      </c>
      <c r="JV20" s="14">
        <v>261.74</v>
      </c>
      <c r="JW20" s="14">
        <v>261.73</v>
      </c>
      <c r="JX20" s="14">
        <v>261.7</v>
      </c>
      <c r="JY20" s="14">
        <v>261.7</v>
      </c>
      <c r="JZ20" s="14"/>
      <c r="KA20" s="14"/>
      <c r="KB20" s="14"/>
      <c r="KC20" s="14"/>
      <c r="KD20" s="14"/>
      <c r="KE20" s="14">
        <v>261.74</v>
      </c>
      <c r="KF20" s="14">
        <v>261.70999999999998</v>
      </c>
      <c r="KG20" s="14">
        <v>261.73</v>
      </c>
      <c r="KH20" s="14">
        <v>261.74</v>
      </c>
      <c r="KI20" s="14">
        <v>261.69</v>
      </c>
      <c r="KJ20" s="14"/>
      <c r="KK20" s="14"/>
      <c r="KL20" s="14"/>
      <c r="KM20" s="14"/>
      <c r="KN20" s="14"/>
      <c r="KO20" s="14"/>
      <c r="KP20" s="14"/>
      <c r="KQ20" s="14"/>
      <c r="KR20" s="14"/>
      <c r="KS20" s="14"/>
      <c r="KT20" s="14"/>
      <c r="KU20" s="14"/>
      <c r="KV20" s="14"/>
      <c r="KW20" s="14"/>
      <c r="KX20" s="14"/>
      <c r="KY20" s="14"/>
      <c r="KZ20" s="14"/>
      <c r="LA20" s="14"/>
      <c r="LB20" s="14"/>
      <c r="LC20" s="14"/>
      <c r="LD20" s="14"/>
      <c r="LE20" s="14"/>
      <c r="LF20" s="14"/>
      <c r="LG20" s="14"/>
      <c r="LH20" s="14"/>
      <c r="LI20" s="14"/>
      <c r="LJ20" s="14"/>
      <c r="LK20" s="14"/>
      <c r="LL20" s="14"/>
      <c r="LM20" s="14"/>
      <c r="LN20" s="22">
        <f t="shared" si="1"/>
        <v>10</v>
      </c>
      <c r="LO20" s="6">
        <f t="shared" si="2"/>
        <v>261.69899999999996</v>
      </c>
      <c r="LP20" s="21">
        <f t="shared" si="3"/>
        <v>1.1972189997378837E-2</v>
      </c>
      <c r="LQ20" s="7">
        <f t="shared" si="4"/>
        <v>1.3921151159737646</v>
      </c>
      <c r="LR20" s="7">
        <f t="shared" si="5"/>
        <v>1.6983804414895596</v>
      </c>
      <c r="LS20" s="7">
        <f t="shared" si="6"/>
        <v>1.0858497904579696</v>
      </c>
      <c r="LT20" s="7">
        <f>MIN(LR20:LS20)</f>
        <v>1.0858497904579696</v>
      </c>
      <c r="LU20" s="48"/>
      <c r="LV20" s="48"/>
      <c r="LW20" s="48"/>
      <c r="LX20" s="48"/>
    </row>
    <row r="21" spans="1:337">
      <c r="A21" s="21" t="s">
        <v>30</v>
      </c>
      <c r="B21" s="21" t="s">
        <v>31</v>
      </c>
      <c r="C21" s="21" t="s">
        <v>37</v>
      </c>
      <c r="D21" s="21" t="s">
        <v>38</v>
      </c>
      <c r="E21" s="5">
        <v>14.05</v>
      </c>
      <c r="F21" s="5">
        <v>14.032</v>
      </c>
      <c r="G21" s="5">
        <f t="shared" si="0"/>
        <v>14.041</v>
      </c>
      <c r="H21" s="7"/>
      <c r="I21" s="7"/>
      <c r="J21" s="7"/>
      <c r="K21" s="7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>
        <v>14.037000000000001</v>
      </c>
      <c r="AG21" s="5">
        <v>14.042</v>
      </c>
      <c r="AH21" s="5">
        <v>14.04</v>
      </c>
      <c r="AI21" s="5">
        <v>14.039</v>
      </c>
      <c r="AJ21" s="5">
        <v>14.039</v>
      </c>
      <c r="AK21" s="5"/>
      <c r="AL21" s="5"/>
      <c r="AM21" s="5"/>
      <c r="AN21" s="5"/>
      <c r="AO21" s="5"/>
      <c r="AP21" s="5">
        <v>14.039</v>
      </c>
      <c r="AQ21" s="5">
        <v>14.037000000000001</v>
      </c>
      <c r="AR21" s="5">
        <v>14.04</v>
      </c>
      <c r="AS21" s="5">
        <v>14.03</v>
      </c>
      <c r="AT21" s="5">
        <v>14.039</v>
      </c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14.034000000000001</v>
      </c>
      <c r="BF21" s="5">
        <v>14.036</v>
      </c>
      <c r="BG21" s="5">
        <v>14.04</v>
      </c>
      <c r="BH21" s="5">
        <v>14.045999999999999</v>
      </c>
      <c r="BI21" s="5">
        <v>14.032999999999999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13"/>
      <c r="HR21" s="14"/>
      <c r="HS21" s="14"/>
      <c r="HT21" s="14"/>
      <c r="HU21" s="14"/>
      <c r="HV21" s="14"/>
      <c r="HW21" s="14"/>
      <c r="HX21" s="14"/>
      <c r="HY21" s="14"/>
      <c r="HZ21" s="14"/>
      <c r="IA21" s="14"/>
      <c r="IB21" s="11"/>
      <c r="IC21" s="11"/>
      <c r="ID21" s="11"/>
      <c r="IE21" s="11"/>
      <c r="IF21" s="11"/>
      <c r="IG21" s="11"/>
      <c r="IH21" s="11"/>
      <c r="II21" s="11"/>
      <c r="IJ21" s="11"/>
      <c r="IK21" s="11"/>
      <c r="IL21" s="14"/>
      <c r="IM21" s="14"/>
      <c r="IN21" s="14"/>
      <c r="IO21" s="14"/>
      <c r="IP21" s="14"/>
      <c r="IQ21" s="14"/>
      <c r="IR21" s="14"/>
      <c r="IS21" s="14"/>
      <c r="IT21" s="14"/>
      <c r="IU21" s="14"/>
      <c r="IV21" s="14"/>
      <c r="IW21" s="14"/>
      <c r="IX21" s="14"/>
      <c r="IY21" s="14"/>
      <c r="IZ21" s="14"/>
      <c r="JA21" s="14"/>
      <c r="JB21" s="14"/>
      <c r="JC21" s="14"/>
      <c r="JD21" s="14"/>
      <c r="JE21" s="14"/>
      <c r="JF21" s="14"/>
      <c r="JG21" s="14"/>
      <c r="JH21" s="14"/>
      <c r="JI21" s="14"/>
      <c r="JJ21" s="14"/>
      <c r="JK21" s="14"/>
      <c r="JL21" s="14"/>
      <c r="JM21" s="14"/>
      <c r="JN21" s="14"/>
      <c r="JO21" s="14"/>
      <c r="JP21" s="14"/>
      <c r="JQ21" s="14"/>
      <c r="JR21" s="14"/>
      <c r="JS21" s="14"/>
      <c r="JT21" s="14"/>
      <c r="JU21" s="14"/>
      <c r="JV21" s="14"/>
      <c r="JW21" s="14"/>
      <c r="JX21" s="14"/>
      <c r="JY21" s="14"/>
      <c r="JZ21" s="14"/>
      <c r="KA21" s="14"/>
      <c r="KB21" s="14"/>
      <c r="KC21" s="14"/>
      <c r="KD21" s="14"/>
      <c r="KE21" s="14"/>
      <c r="KF21" s="14"/>
      <c r="KG21" s="14"/>
      <c r="KH21" s="14"/>
      <c r="KI21" s="14"/>
      <c r="KJ21" s="14"/>
      <c r="KK21" s="14"/>
      <c r="KL21" s="14"/>
      <c r="KM21" s="14"/>
      <c r="KN21" s="14"/>
      <c r="KO21" s="14"/>
      <c r="KP21" s="14"/>
      <c r="KQ21" s="14"/>
      <c r="KR21" s="14"/>
      <c r="KS21" s="14"/>
      <c r="KT21" s="14"/>
      <c r="KU21" s="14"/>
      <c r="KV21" s="14"/>
      <c r="KW21" s="14"/>
      <c r="KX21" s="14"/>
      <c r="KY21" s="14"/>
      <c r="KZ21" s="14"/>
      <c r="LA21" s="14"/>
      <c r="LB21" s="14"/>
      <c r="LC21" s="14"/>
      <c r="LD21" s="14"/>
      <c r="LE21" s="14"/>
      <c r="LF21" s="14"/>
      <c r="LG21" s="14"/>
      <c r="LH21" s="14"/>
      <c r="LI21" s="14"/>
      <c r="LJ21" s="14"/>
      <c r="LK21" s="14"/>
      <c r="LL21" s="14"/>
      <c r="LM21" s="14"/>
      <c r="LN21" s="22">
        <f t="shared" si="1"/>
        <v>21</v>
      </c>
      <c r="LO21" s="6">
        <f t="shared" si="2"/>
        <v>61.944809523809532</v>
      </c>
      <c r="LP21" s="21">
        <f t="shared" si="3"/>
        <v>8.2196049030299687E-3</v>
      </c>
      <c r="LQ21" s="7">
        <f t="shared" si="4"/>
        <v>0.60830174430367745</v>
      </c>
      <c r="LR21" s="7">
        <f t="shared" si="5"/>
        <v>0.53491931165710327</v>
      </c>
      <c r="LS21" s="7">
        <f t="shared" si="6"/>
        <v>0.68168417695025163</v>
      </c>
      <c r="LT21" s="7">
        <f t="shared" si="7"/>
        <v>0.53491931165710327</v>
      </c>
      <c r="LU21" s="48"/>
      <c r="LV21" s="48"/>
      <c r="LW21" s="48"/>
      <c r="LX21" s="48"/>
    </row>
    <row r="22" spans="1:337">
      <c r="A22" s="21" t="s">
        <v>30</v>
      </c>
      <c r="B22" s="21" t="s">
        <v>31</v>
      </c>
      <c r="C22" s="21" t="s">
        <v>37</v>
      </c>
      <c r="D22" s="21" t="s">
        <v>39</v>
      </c>
      <c r="E22" s="8">
        <v>261.76</v>
      </c>
      <c r="F22" s="8">
        <v>261.66000000000003</v>
      </c>
      <c r="G22" s="8">
        <f t="shared" si="0"/>
        <v>261.71000000000004</v>
      </c>
      <c r="H22" s="7"/>
      <c r="I22" s="7"/>
      <c r="J22" s="7"/>
      <c r="K22" s="7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>
        <v>261.7</v>
      </c>
      <c r="AG22" s="5">
        <v>261.68</v>
      </c>
      <c r="AH22" s="5">
        <v>261.70999999999998</v>
      </c>
      <c r="AI22" s="5">
        <v>261.72000000000003</v>
      </c>
      <c r="AJ22" s="5">
        <v>261.69</v>
      </c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>
        <v>261.70999999999998</v>
      </c>
      <c r="BF22" s="5">
        <v>261.7</v>
      </c>
      <c r="BG22" s="5">
        <v>261.69</v>
      </c>
      <c r="BH22" s="5">
        <v>261.7</v>
      </c>
      <c r="BI22" s="5">
        <v>261.69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13"/>
      <c r="HR22" s="14"/>
      <c r="HS22" s="14"/>
      <c r="HT22" s="14"/>
      <c r="HU22" s="14"/>
      <c r="HV22" s="14"/>
      <c r="HW22" s="14"/>
      <c r="HX22" s="14"/>
      <c r="HY22" s="14"/>
      <c r="HZ22" s="14"/>
      <c r="IA22" s="14"/>
      <c r="IB22" s="11"/>
      <c r="IC22" s="11"/>
      <c r="ID22" s="11"/>
      <c r="IE22" s="11"/>
      <c r="IF22" s="11"/>
      <c r="IG22" s="11"/>
      <c r="IH22" s="11"/>
      <c r="II22" s="11"/>
      <c r="IJ22" s="11"/>
      <c r="IK22" s="11"/>
      <c r="IL22" s="14"/>
      <c r="IM22" s="14"/>
      <c r="IN22" s="14"/>
      <c r="IO22" s="14"/>
      <c r="IP22" s="14"/>
      <c r="IQ22" s="14"/>
      <c r="IR22" s="14"/>
      <c r="IS22" s="14"/>
      <c r="IT22" s="14"/>
      <c r="IU22" s="14"/>
      <c r="IV22" s="14"/>
      <c r="IW22" s="14"/>
      <c r="IX22" s="14"/>
      <c r="IY22" s="14"/>
      <c r="IZ22" s="14"/>
      <c r="JA22" s="14"/>
      <c r="JB22" s="14"/>
      <c r="JC22" s="14"/>
      <c r="JD22" s="14"/>
      <c r="JE22" s="14"/>
      <c r="JF22" s="14"/>
      <c r="JG22" s="14"/>
      <c r="JH22" s="14"/>
      <c r="JI22" s="14"/>
      <c r="JJ22" s="14"/>
      <c r="JK22" s="14"/>
      <c r="JL22" s="14"/>
      <c r="JM22" s="14"/>
      <c r="JN22" s="14"/>
      <c r="JO22" s="14"/>
      <c r="JP22" s="14"/>
      <c r="JQ22" s="14"/>
      <c r="JR22" s="14"/>
      <c r="JS22" s="14"/>
      <c r="JT22" s="14"/>
      <c r="JU22" s="14"/>
      <c r="JV22" s="14"/>
      <c r="JW22" s="14"/>
      <c r="JX22" s="14"/>
      <c r="JY22" s="14"/>
      <c r="JZ22" s="14"/>
      <c r="KA22" s="14"/>
      <c r="KB22" s="14"/>
      <c r="KC22" s="14"/>
      <c r="KD22" s="14"/>
      <c r="KE22" s="14"/>
      <c r="KF22" s="14"/>
      <c r="KG22" s="14"/>
      <c r="KH22" s="14"/>
      <c r="KI22" s="14"/>
      <c r="KJ22" s="14"/>
      <c r="KK22" s="14"/>
      <c r="KL22" s="14"/>
      <c r="KM22" s="14"/>
      <c r="KN22" s="14"/>
      <c r="KO22" s="14"/>
      <c r="KP22" s="14"/>
      <c r="KQ22" s="14"/>
      <c r="KR22" s="14"/>
      <c r="KS22" s="14"/>
      <c r="KT22" s="14"/>
      <c r="KU22" s="14"/>
      <c r="KV22" s="14"/>
      <c r="KW22" s="14"/>
      <c r="KX22" s="14"/>
      <c r="KY22" s="14"/>
      <c r="KZ22" s="14"/>
      <c r="LA22" s="14"/>
      <c r="LB22" s="14"/>
      <c r="LC22" s="14"/>
      <c r="LD22" s="14"/>
      <c r="LE22" s="14"/>
      <c r="LF22" s="14"/>
      <c r="LG22" s="14"/>
      <c r="LH22" s="14"/>
      <c r="LI22" s="14"/>
      <c r="LJ22" s="14"/>
      <c r="LK22" s="14"/>
      <c r="LL22" s="14"/>
      <c r="LM22" s="14"/>
      <c r="LN22" s="22">
        <f t="shared" si="1"/>
        <v>6</v>
      </c>
      <c r="LO22" s="6">
        <f t="shared" si="2"/>
        <v>85.025000000000006</v>
      </c>
      <c r="LP22" s="21">
        <f t="shared" si="3"/>
        <v>1.200000000000164E-2</v>
      </c>
      <c r="LQ22" s="7">
        <f t="shared" si="4"/>
        <v>0.41666666666662555</v>
      </c>
      <c r="LR22" s="7">
        <f t="shared" si="5"/>
        <v>0.41666666666662555</v>
      </c>
      <c r="LS22" s="7">
        <f t="shared" si="6"/>
        <v>0.41666666666662555</v>
      </c>
      <c r="LT22" s="7">
        <f t="shared" si="7"/>
        <v>0.41666666666662555</v>
      </c>
      <c r="LU22" s="48"/>
      <c r="LV22" s="48"/>
      <c r="LW22" s="48"/>
      <c r="LX22" s="48"/>
    </row>
    <row r="23" spans="1:337">
      <c r="A23" s="21" t="s">
        <v>41</v>
      </c>
      <c r="B23" s="21" t="s">
        <v>42</v>
      </c>
      <c r="C23" s="21" t="s">
        <v>43</v>
      </c>
      <c r="D23" s="21" t="s">
        <v>33</v>
      </c>
      <c r="E23" s="5">
        <v>61.957999999999998</v>
      </c>
      <c r="F23" s="5">
        <v>61.927999999999997</v>
      </c>
      <c r="G23" s="5">
        <f t="shared" si="0"/>
        <v>61.942999999999998</v>
      </c>
      <c r="H23" s="7"/>
      <c r="I23" s="7"/>
      <c r="J23" s="7"/>
      <c r="K23" s="7"/>
      <c r="L23" s="5">
        <v>61.954000000000001</v>
      </c>
      <c r="M23" s="5">
        <v>61.951000000000001</v>
      </c>
      <c r="N23" s="5">
        <v>61.951999999999998</v>
      </c>
      <c r="O23" s="5">
        <v>61.95</v>
      </c>
      <c r="P23" s="5">
        <v>61.948</v>
      </c>
      <c r="Q23" s="5">
        <v>61.945999999999998</v>
      </c>
      <c r="R23" s="5">
        <v>61.945</v>
      </c>
      <c r="S23" s="5">
        <v>61.944000000000003</v>
      </c>
      <c r="T23" s="5">
        <v>61.944000000000003</v>
      </c>
      <c r="U23" s="5">
        <v>61.945999999999998</v>
      </c>
      <c r="V23" s="5">
        <v>61.948</v>
      </c>
      <c r="W23" s="5">
        <v>61.948999999999998</v>
      </c>
      <c r="X23" s="5">
        <v>61.95</v>
      </c>
      <c r="Y23" s="5">
        <v>61.953000000000003</v>
      </c>
      <c r="Z23" s="5">
        <v>61.951000000000001</v>
      </c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61.929000000000002</v>
      </c>
      <c r="BF23" s="5">
        <v>61.933</v>
      </c>
      <c r="BG23" s="5">
        <v>61.927999999999997</v>
      </c>
      <c r="BH23" s="5">
        <v>61.936999999999998</v>
      </c>
      <c r="BI23" s="5">
        <v>61.930999999999997</v>
      </c>
      <c r="BJ23" s="5"/>
      <c r="BK23" s="5"/>
      <c r="BL23" s="5"/>
      <c r="BM23" s="5"/>
      <c r="BN23" s="5"/>
      <c r="BO23" s="5">
        <v>61.951999999999998</v>
      </c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>
        <v>61.945</v>
      </c>
      <c r="CJ23" s="5">
        <v>61.948</v>
      </c>
      <c r="CK23" s="5">
        <v>61.951000000000001</v>
      </c>
      <c r="CL23" s="5">
        <v>61.947000000000003</v>
      </c>
      <c r="CM23" s="5">
        <v>61.948999999999998</v>
      </c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>
        <v>61.948</v>
      </c>
      <c r="DI23" s="5">
        <v>61.945999999999998</v>
      </c>
      <c r="DJ23" s="5">
        <v>61.951999999999998</v>
      </c>
      <c r="DK23" s="5">
        <v>61.954000000000001</v>
      </c>
      <c r="DL23" s="5">
        <v>61.948999999999998</v>
      </c>
      <c r="DM23" s="5">
        <v>61.947000000000003</v>
      </c>
      <c r="DN23" s="5">
        <v>61.951000000000001</v>
      </c>
      <c r="DO23" s="5">
        <v>61.947000000000003</v>
      </c>
      <c r="DP23" s="5">
        <v>61.948999999999998</v>
      </c>
      <c r="DQ23" s="5">
        <v>61.947000000000003</v>
      </c>
      <c r="DR23" s="5">
        <v>61.945</v>
      </c>
      <c r="DS23" s="5">
        <v>61.945999999999998</v>
      </c>
      <c r="DT23" s="5">
        <v>91.951999999999998</v>
      </c>
      <c r="DU23" s="5">
        <v>61.951000000000001</v>
      </c>
      <c r="DV23" s="5">
        <v>61.953000000000003</v>
      </c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>
        <v>61.956000000000003</v>
      </c>
      <c r="HQ23" s="13">
        <v>61.948</v>
      </c>
      <c r="HR23" s="14">
        <v>61.947000000000003</v>
      </c>
      <c r="HS23" s="14">
        <v>61.945999999999998</v>
      </c>
      <c r="HT23" s="14">
        <v>61.951000000000001</v>
      </c>
      <c r="HU23" s="14"/>
      <c r="HV23" s="14"/>
      <c r="HW23" s="14"/>
      <c r="HX23" s="14"/>
      <c r="HY23" s="14"/>
      <c r="HZ23" s="14"/>
      <c r="IA23" s="14"/>
      <c r="IB23" s="11"/>
      <c r="IC23" s="11"/>
      <c r="ID23" s="11"/>
      <c r="IE23" s="11"/>
      <c r="IF23" s="11"/>
      <c r="IG23" s="11"/>
      <c r="IH23" s="11"/>
      <c r="II23" s="11"/>
      <c r="IJ23" s="11"/>
      <c r="IK23" s="11"/>
      <c r="IL23" s="14">
        <v>61.95</v>
      </c>
      <c r="IM23" s="14">
        <v>61.951999999999998</v>
      </c>
      <c r="IN23" s="14">
        <v>61.951000000000001</v>
      </c>
      <c r="IO23" s="14">
        <v>61.948999999999998</v>
      </c>
      <c r="IP23" s="14">
        <v>61.947000000000003</v>
      </c>
      <c r="IQ23" s="14">
        <v>61.951999999999998</v>
      </c>
      <c r="IR23" s="14">
        <v>61.95</v>
      </c>
      <c r="IS23" s="14">
        <v>61.948999999999998</v>
      </c>
      <c r="IT23" s="14">
        <v>61.95</v>
      </c>
      <c r="IU23" s="14">
        <v>61.948999999999998</v>
      </c>
      <c r="IV23" s="14"/>
      <c r="IW23" s="14"/>
      <c r="IX23" s="14"/>
      <c r="IY23" s="14"/>
      <c r="IZ23" s="14"/>
      <c r="JA23" s="14">
        <v>61.948</v>
      </c>
      <c r="JB23" s="14">
        <v>61.951999999999998</v>
      </c>
      <c r="JC23" s="14">
        <v>61.954000000000001</v>
      </c>
      <c r="JD23" s="14">
        <v>61.956000000000003</v>
      </c>
      <c r="JE23" s="14">
        <v>61.951999999999998</v>
      </c>
      <c r="JF23" s="14"/>
      <c r="JG23" s="14"/>
      <c r="JH23" s="14"/>
      <c r="JI23" s="14"/>
      <c r="JJ23" s="14"/>
      <c r="JK23" s="14">
        <v>61.951000000000001</v>
      </c>
      <c r="JL23" s="14">
        <v>61.948</v>
      </c>
      <c r="JM23" s="14">
        <v>61.951999999999998</v>
      </c>
      <c r="JN23" s="14">
        <v>61.954000000000001</v>
      </c>
      <c r="JO23" s="14">
        <v>91.951999999999998</v>
      </c>
      <c r="JP23" s="14"/>
      <c r="JQ23" s="14"/>
      <c r="JR23" s="14"/>
      <c r="JS23" s="14"/>
      <c r="JT23" s="14"/>
      <c r="JU23" s="14">
        <v>61.954000000000001</v>
      </c>
      <c r="JV23" s="14">
        <v>61.951999999999998</v>
      </c>
      <c r="JW23" s="14">
        <v>61.951000000000001</v>
      </c>
      <c r="JX23" s="14">
        <v>61.947000000000003</v>
      </c>
      <c r="JY23" s="14">
        <v>61.951999999999998</v>
      </c>
      <c r="JZ23" s="14"/>
      <c r="KA23" s="14"/>
      <c r="KB23" s="14"/>
      <c r="KC23" s="14"/>
      <c r="KD23" s="14"/>
      <c r="KE23" s="14">
        <v>61.942</v>
      </c>
      <c r="KF23" s="14">
        <v>61.945999999999998</v>
      </c>
      <c r="KG23" s="14">
        <v>61.951000000000001</v>
      </c>
      <c r="KH23" s="14">
        <v>61.951999999999998</v>
      </c>
      <c r="KI23" s="14">
        <v>61.948999999999998</v>
      </c>
      <c r="KJ23" s="14"/>
      <c r="KK23" s="14"/>
      <c r="KL23" s="14"/>
      <c r="KM23" s="14"/>
      <c r="KN23" s="14"/>
      <c r="KO23" s="14"/>
      <c r="KP23" s="14"/>
      <c r="KQ23" s="14"/>
      <c r="KR23" s="14"/>
      <c r="KS23" s="14"/>
      <c r="KT23" s="14"/>
      <c r="KU23" s="14"/>
      <c r="KV23" s="14"/>
      <c r="KW23" s="14"/>
      <c r="KX23" s="14"/>
      <c r="KY23" s="14"/>
      <c r="KZ23" s="14"/>
      <c r="LA23" s="14"/>
      <c r="LB23" s="14"/>
      <c r="LC23" s="14"/>
      <c r="LD23" s="14"/>
      <c r="LE23" s="14"/>
      <c r="LF23" s="14"/>
      <c r="LG23" s="14"/>
      <c r="LH23" s="14"/>
      <c r="LI23" s="14"/>
      <c r="LJ23" s="14"/>
      <c r="LK23" s="14"/>
      <c r="LL23" s="14"/>
      <c r="LM23" s="14"/>
      <c r="LN23" s="22">
        <f t="shared" si="1"/>
        <v>16</v>
      </c>
      <c r="LO23" s="6">
        <f t="shared" si="2"/>
        <v>16.036875000000002</v>
      </c>
      <c r="LP23" s="21">
        <f t="shared" si="3"/>
        <v>7.6059187479228518E-3</v>
      </c>
      <c r="LQ23" s="7">
        <f t="shared" si="4"/>
        <v>0.54781898213216162</v>
      </c>
      <c r="LR23" s="7">
        <f t="shared" si="5"/>
        <v>0.5752099312386646</v>
      </c>
      <c r="LS23" s="7">
        <f t="shared" si="6"/>
        <v>0.52042803302565865</v>
      </c>
      <c r="LT23" s="7">
        <f>MIN(LR23:LS23)</f>
        <v>0.52042803302565865</v>
      </c>
    </row>
    <row r="24" spans="1:337">
      <c r="A24" s="21" t="s">
        <v>41</v>
      </c>
      <c r="B24" s="21" t="s">
        <v>42</v>
      </c>
      <c r="C24" s="21" t="s">
        <v>43</v>
      </c>
      <c r="D24" s="21" t="s">
        <v>34</v>
      </c>
      <c r="E24" s="5">
        <v>85.04</v>
      </c>
      <c r="F24" s="5">
        <v>85.01</v>
      </c>
      <c r="G24" s="5">
        <f t="shared" si="0"/>
        <v>85.025000000000006</v>
      </c>
      <c r="H24" s="7"/>
      <c r="I24" s="7"/>
      <c r="J24" s="7"/>
      <c r="K24" s="7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>
        <v>85.012</v>
      </c>
      <c r="BF24" s="5">
        <v>85.016000000000005</v>
      </c>
      <c r="BG24" s="5">
        <v>85.04</v>
      </c>
      <c r="BH24" s="5">
        <v>85.033000000000001</v>
      </c>
      <c r="BI24" s="5">
        <v>85.015000000000001</v>
      </c>
      <c r="BJ24" s="5"/>
      <c r="BK24" s="5"/>
      <c r="BL24" s="5"/>
      <c r="BM24" s="5"/>
      <c r="BN24" s="5"/>
      <c r="BO24" s="5">
        <v>85.034000000000006</v>
      </c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>
        <v>85.031999999999996</v>
      </c>
      <c r="CJ24" s="5">
        <v>85.027000000000001</v>
      </c>
      <c r="CK24" s="5">
        <v>85.022999999999996</v>
      </c>
      <c r="CL24" s="5">
        <v>85.021000000000001</v>
      </c>
      <c r="CM24" s="5">
        <v>85.019000000000005</v>
      </c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>
        <v>85.025999999999996</v>
      </c>
      <c r="DI24" s="5">
        <v>85.024000000000001</v>
      </c>
      <c r="DJ24" s="5">
        <v>85.027000000000001</v>
      </c>
      <c r="DK24" s="5">
        <v>85.031000000000006</v>
      </c>
      <c r="DL24" s="5">
        <v>85.03</v>
      </c>
      <c r="DM24" s="5">
        <v>85.019000000000005</v>
      </c>
      <c r="DN24" s="5">
        <v>85.025000000000006</v>
      </c>
      <c r="DO24" s="5">
        <v>85.025000000000006</v>
      </c>
      <c r="DP24" s="5">
        <v>85.027000000000001</v>
      </c>
      <c r="DQ24" s="5">
        <v>85.033000000000001</v>
      </c>
      <c r="DR24" s="5">
        <v>85.031999999999996</v>
      </c>
      <c r="DS24" s="5">
        <v>85.028000000000006</v>
      </c>
      <c r="DT24" s="5">
        <v>85.03</v>
      </c>
      <c r="DU24" s="5">
        <v>85.028999999999996</v>
      </c>
      <c r="DV24" s="5">
        <v>85.025999999999996</v>
      </c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>
        <v>85.028999999999996</v>
      </c>
      <c r="HQ24" s="13">
        <v>85.027000000000001</v>
      </c>
      <c r="HR24" s="14">
        <v>85.025999999999996</v>
      </c>
      <c r="HS24" s="14">
        <v>85.028000000000006</v>
      </c>
      <c r="HT24" s="14">
        <v>85.031000000000006</v>
      </c>
      <c r="HU24" s="14"/>
      <c r="HV24" s="14"/>
      <c r="HW24" s="14"/>
      <c r="HX24" s="14"/>
      <c r="HY24" s="14"/>
      <c r="HZ24" s="14"/>
      <c r="IA24" s="14"/>
      <c r="IB24" s="11"/>
      <c r="IC24" s="11"/>
      <c r="ID24" s="11"/>
      <c r="IE24" s="11"/>
      <c r="IF24" s="11"/>
      <c r="IG24" s="11"/>
      <c r="IH24" s="11"/>
      <c r="II24" s="11"/>
      <c r="IJ24" s="11"/>
      <c r="IK24" s="11"/>
      <c r="IL24" s="14"/>
      <c r="IM24" s="14"/>
      <c r="IN24" s="14"/>
      <c r="IO24" s="14"/>
      <c r="IP24" s="14"/>
      <c r="IQ24" s="14">
        <v>85.022000000000006</v>
      </c>
      <c r="IR24" s="14">
        <v>85.021000000000001</v>
      </c>
      <c r="IS24" s="14">
        <v>85.022000000000006</v>
      </c>
      <c r="IT24" s="14">
        <v>85.022999999999996</v>
      </c>
      <c r="IU24" s="14">
        <v>85.019000000000005</v>
      </c>
      <c r="IV24" s="14"/>
      <c r="IW24" s="14"/>
      <c r="IX24" s="14"/>
      <c r="IY24" s="14"/>
      <c r="IZ24" s="14"/>
      <c r="JA24" s="14">
        <v>85.034000000000006</v>
      </c>
      <c r="JB24" s="14">
        <v>85.037999999999997</v>
      </c>
      <c r="JC24" s="14">
        <v>85.031000000000006</v>
      </c>
      <c r="JD24" s="14">
        <v>85.028999999999996</v>
      </c>
      <c r="JE24" s="14">
        <v>85.027000000000001</v>
      </c>
      <c r="JF24" s="14"/>
      <c r="JG24" s="14"/>
      <c r="JH24" s="14"/>
      <c r="JI24" s="14"/>
      <c r="JJ24" s="14"/>
      <c r="JK24" s="14">
        <v>85.031999999999996</v>
      </c>
      <c r="JL24" s="14">
        <v>85.027000000000001</v>
      </c>
      <c r="JM24" s="14">
        <v>85.025999999999996</v>
      </c>
      <c r="JN24" s="14">
        <v>85.022999999999996</v>
      </c>
      <c r="JO24" s="14">
        <v>85.025999999999996</v>
      </c>
      <c r="JP24" s="14"/>
      <c r="JQ24" s="14"/>
      <c r="JR24" s="14"/>
      <c r="JS24" s="14"/>
      <c r="JT24" s="14"/>
      <c r="JU24" s="14">
        <v>85.031000000000006</v>
      </c>
      <c r="JV24" s="14">
        <v>85.028000000000006</v>
      </c>
      <c r="JW24" s="14">
        <v>85.024000000000001</v>
      </c>
      <c r="JX24" s="14">
        <v>85.025999999999996</v>
      </c>
      <c r="JY24" s="14">
        <v>85.024000000000001</v>
      </c>
      <c r="JZ24" s="14"/>
      <c r="KA24" s="14"/>
      <c r="KB24" s="14"/>
      <c r="KC24" s="14"/>
      <c r="KD24" s="14"/>
      <c r="KE24" s="14">
        <v>85.028999999999996</v>
      </c>
      <c r="KF24" s="14">
        <v>85.028000000000006</v>
      </c>
      <c r="KG24" s="14">
        <v>85.027000000000001</v>
      </c>
      <c r="KH24" s="14">
        <v>85.025999999999996</v>
      </c>
      <c r="KI24" s="14">
        <v>85.028000000000006</v>
      </c>
      <c r="KJ24" s="14"/>
      <c r="KK24" s="14"/>
      <c r="KL24" s="14"/>
      <c r="KM24" s="14"/>
      <c r="KN24" s="14"/>
      <c r="KO24" s="14"/>
      <c r="KP24" s="14"/>
      <c r="KQ24" s="14"/>
      <c r="KR24" s="14"/>
      <c r="KS24" s="14"/>
      <c r="KT24" s="14"/>
      <c r="KU24" s="14"/>
      <c r="KV24" s="14"/>
      <c r="KW24" s="14"/>
      <c r="KX24" s="14"/>
      <c r="KY24" s="14"/>
      <c r="KZ24" s="14"/>
      <c r="LA24" s="14"/>
      <c r="LB24" s="14"/>
      <c r="LC24" s="14"/>
      <c r="LD24" s="14"/>
      <c r="LE24" s="14"/>
      <c r="LF24" s="14"/>
      <c r="LG24" s="14"/>
      <c r="LH24" s="14"/>
      <c r="LI24" s="14"/>
      <c r="LJ24" s="14"/>
      <c r="LK24" s="14"/>
      <c r="LL24" s="14"/>
      <c r="LM24" s="14"/>
      <c r="LN24" s="22">
        <f t="shared" si="1"/>
        <v>6</v>
      </c>
      <c r="LO24" s="6">
        <f t="shared" si="2"/>
        <v>51.999666666666677</v>
      </c>
      <c r="LP24" s="21">
        <f t="shared" si="3"/>
        <v>8.3825214981337517E-3</v>
      </c>
      <c r="LQ24" s="7">
        <f t="shared" si="4"/>
        <v>0.59647923373812617</v>
      </c>
      <c r="LR24" s="7">
        <f t="shared" si="5"/>
        <v>0.80856073906692383</v>
      </c>
      <c r="LS24" s="7">
        <f t="shared" si="6"/>
        <v>0.38439772840932862</v>
      </c>
      <c r="LT24" s="7">
        <f t="shared" si="7"/>
        <v>0.38439772840932862</v>
      </c>
      <c r="LU24" s="48"/>
      <c r="LV24" s="48"/>
      <c r="LW24" s="48"/>
      <c r="LX24" s="48"/>
      <c r="LY24" t="s">
        <v>129</v>
      </c>
    </row>
    <row r="25" spans="1:337">
      <c r="A25" s="21" t="s">
        <v>41</v>
      </c>
      <c r="B25" s="21" t="s">
        <v>42</v>
      </c>
      <c r="C25" s="21" t="s">
        <v>43</v>
      </c>
      <c r="D25" s="21" t="s">
        <v>35</v>
      </c>
      <c r="E25" s="5">
        <v>16.05</v>
      </c>
      <c r="F25" s="5">
        <v>16.024999999999999</v>
      </c>
      <c r="G25" s="5">
        <f t="shared" si="0"/>
        <v>16.037500000000001</v>
      </c>
      <c r="H25" s="7"/>
      <c r="I25" s="7"/>
      <c r="J25" s="7"/>
      <c r="K25" s="7"/>
      <c r="L25" s="5">
        <v>16.041</v>
      </c>
      <c r="M25" s="5">
        <v>16.039000000000001</v>
      </c>
      <c r="N25" s="5">
        <v>16.042000000000002</v>
      </c>
      <c r="O25" s="5">
        <v>16.038</v>
      </c>
      <c r="P25" s="5">
        <v>16.04</v>
      </c>
      <c r="Q25" s="5"/>
      <c r="R25" s="5"/>
      <c r="S25" s="5"/>
      <c r="T25" s="5"/>
      <c r="U25" s="5"/>
      <c r="V25" s="5">
        <v>16.044</v>
      </c>
      <c r="W25" s="5">
        <v>16.042999999999999</v>
      </c>
      <c r="X25" s="5">
        <v>16.04</v>
      </c>
      <c r="Y25" s="5">
        <v>16.041</v>
      </c>
      <c r="Z25" s="5">
        <v>16.044</v>
      </c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>
        <v>16.024999999999999</v>
      </c>
      <c r="BF25" s="5">
        <v>16.027000000000001</v>
      </c>
      <c r="BG25" s="5">
        <v>16.026</v>
      </c>
      <c r="BH25" s="5">
        <v>16.024999999999999</v>
      </c>
      <c r="BI25" s="5">
        <v>16.029</v>
      </c>
      <c r="BJ25" s="5"/>
      <c r="BK25" s="5"/>
      <c r="BL25" s="5"/>
      <c r="BM25" s="5"/>
      <c r="BN25" s="5"/>
      <c r="BO25" s="5">
        <v>16.045999999999999</v>
      </c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>
        <v>16.047000000000001</v>
      </c>
      <c r="CJ25" s="5">
        <v>16.042999999999999</v>
      </c>
      <c r="CK25" s="5">
        <v>16.048999999999999</v>
      </c>
      <c r="CL25" s="5">
        <v>16.050999999999998</v>
      </c>
      <c r="CM25" s="5">
        <v>16.047999999999998</v>
      </c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>
        <v>16.033999999999999</v>
      </c>
      <c r="DI25" s="5">
        <v>16.041</v>
      </c>
      <c r="DJ25" s="5">
        <v>16.044</v>
      </c>
      <c r="DK25" s="5">
        <v>16.042000000000002</v>
      </c>
      <c r="DL25" s="5">
        <v>16.039000000000001</v>
      </c>
      <c r="DM25" s="5">
        <v>16.047999999999998</v>
      </c>
      <c r="DN25" s="5">
        <v>16.048999999999999</v>
      </c>
      <c r="DO25" s="5">
        <v>16.044</v>
      </c>
      <c r="DP25" s="5">
        <v>16.047000000000001</v>
      </c>
      <c r="DQ25" s="5">
        <v>16.045000000000002</v>
      </c>
      <c r="DR25" s="5">
        <v>16.042000000000002</v>
      </c>
      <c r="DS25" s="5">
        <v>16.041</v>
      </c>
      <c r="DT25" s="5">
        <v>16.044</v>
      </c>
      <c r="DU25" s="5">
        <v>16.039000000000001</v>
      </c>
      <c r="DV25" s="5">
        <v>16.041</v>
      </c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>
        <v>16.045999999999999</v>
      </c>
      <c r="HQ25" s="13">
        <v>16.041</v>
      </c>
      <c r="HR25" s="14">
        <v>16.038</v>
      </c>
      <c r="HS25" s="14">
        <v>16.039000000000001</v>
      </c>
      <c r="HT25" s="14">
        <v>16.036999999999999</v>
      </c>
      <c r="HU25" s="14"/>
      <c r="HV25" s="14"/>
      <c r="HW25" s="14"/>
      <c r="HX25" s="14"/>
      <c r="HY25" s="14"/>
      <c r="HZ25" s="14"/>
      <c r="IA25" s="14"/>
      <c r="IB25" s="11"/>
      <c r="IC25" s="11"/>
      <c r="ID25" s="11"/>
      <c r="IE25" s="11"/>
      <c r="IF25" s="11"/>
      <c r="IG25" s="11"/>
      <c r="IH25" s="11"/>
      <c r="II25" s="11"/>
      <c r="IJ25" s="11"/>
      <c r="IK25" s="11"/>
      <c r="IL25" s="14"/>
      <c r="IM25" s="14"/>
      <c r="IN25" s="14"/>
      <c r="IO25" s="14"/>
      <c r="IP25" s="14"/>
      <c r="IQ25" s="14"/>
      <c r="IR25" s="14"/>
      <c r="IS25" s="14"/>
      <c r="IT25" s="14"/>
      <c r="IU25" s="14"/>
      <c r="IV25" s="14"/>
      <c r="IW25" s="14"/>
      <c r="IX25" s="14"/>
      <c r="IY25" s="14"/>
      <c r="IZ25" s="14"/>
      <c r="JA25" s="14">
        <v>16.052</v>
      </c>
      <c r="JB25" s="14">
        <v>16.047000000000001</v>
      </c>
      <c r="JC25" s="14">
        <v>16.042000000000002</v>
      </c>
      <c r="JD25" s="14">
        <v>16.044</v>
      </c>
      <c r="JE25" s="14">
        <v>16.041</v>
      </c>
      <c r="JF25" s="14"/>
      <c r="JG25" s="14"/>
      <c r="JH25" s="14"/>
      <c r="JI25" s="14"/>
      <c r="JJ25" s="14"/>
      <c r="JK25" s="14">
        <v>16.052</v>
      </c>
      <c r="JL25" s="14">
        <v>16.050999999999998</v>
      </c>
      <c r="JM25" s="14">
        <v>16.047999999999998</v>
      </c>
      <c r="JN25" s="14">
        <v>16.047000000000001</v>
      </c>
      <c r="JO25" s="14">
        <v>16.044</v>
      </c>
      <c r="JP25" s="14"/>
      <c r="JQ25" s="14"/>
      <c r="JR25" s="14"/>
      <c r="JS25" s="14"/>
      <c r="JT25" s="14"/>
      <c r="JU25" s="14">
        <v>16.042999999999999</v>
      </c>
      <c r="JV25" s="14">
        <v>16.047999999999998</v>
      </c>
      <c r="JW25" s="14">
        <v>16.052</v>
      </c>
      <c r="JX25" s="14">
        <v>16.053000000000001</v>
      </c>
      <c r="JY25" s="14">
        <v>16.045999999999999</v>
      </c>
      <c r="JZ25" s="14"/>
      <c r="KA25" s="14"/>
      <c r="KB25" s="14"/>
      <c r="KC25" s="14"/>
      <c r="KD25" s="14"/>
      <c r="KE25" s="14">
        <v>16.047000000000001</v>
      </c>
      <c r="KF25" s="14">
        <v>16.050999999999998</v>
      </c>
      <c r="KG25" s="14">
        <v>16.052</v>
      </c>
      <c r="KH25" s="14">
        <v>16.045999999999999</v>
      </c>
      <c r="KI25" s="14">
        <v>16.045000000000002</v>
      </c>
      <c r="KJ25" s="14"/>
      <c r="KK25" s="14"/>
      <c r="KL25" s="14"/>
      <c r="KM25" s="14"/>
      <c r="KN25" s="14"/>
      <c r="KO25" s="14"/>
      <c r="KP25" s="14"/>
      <c r="KQ25" s="14"/>
      <c r="KR25" s="14"/>
      <c r="KS25" s="14"/>
      <c r="KT25" s="14"/>
      <c r="KU25" s="14"/>
      <c r="KV25" s="14"/>
      <c r="KW25" s="14"/>
      <c r="KX25" s="14"/>
      <c r="KY25" s="14"/>
      <c r="KZ25" s="14"/>
      <c r="LA25" s="14"/>
      <c r="LB25" s="14"/>
      <c r="LC25" s="14"/>
      <c r="LD25" s="14"/>
      <c r="LE25" s="14"/>
      <c r="LF25" s="14"/>
      <c r="LG25" s="14"/>
      <c r="LH25" s="14"/>
      <c r="LI25" s="14"/>
      <c r="LJ25" s="14"/>
      <c r="LK25" s="14"/>
      <c r="LL25" s="14"/>
      <c r="LM25" s="14"/>
      <c r="LN25" s="22">
        <f t="shared" si="1"/>
        <v>21</v>
      </c>
      <c r="LO25" s="6">
        <f t="shared" si="2"/>
        <v>14.011238095238095</v>
      </c>
      <c r="LP25" s="21">
        <f t="shared" si="3"/>
        <v>1.4275520172325622E-2</v>
      </c>
      <c r="LQ25" s="7">
        <f t="shared" si="4"/>
        <v>0.5837498902133228</v>
      </c>
      <c r="LR25" s="7">
        <f t="shared" si="5"/>
        <v>0.43809039379818254</v>
      </c>
      <c r="LS25" s="7">
        <f t="shared" si="6"/>
        <v>0.72940938662846289</v>
      </c>
      <c r="LT25" s="7">
        <f t="shared" si="7"/>
        <v>0.43809039379818254</v>
      </c>
      <c r="LU25" s="48"/>
      <c r="LV25" s="48"/>
      <c r="LW25" s="48"/>
      <c r="LX25" s="48"/>
    </row>
    <row r="26" spans="1:337">
      <c r="A26" s="21" t="s">
        <v>41</v>
      </c>
      <c r="B26" s="21" t="s">
        <v>42</v>
      </c>
      <c r="C26" s="21" t="s">
        <v>43</v>
      </c>
      <c r="D26" s="21" t="s">
        <v>36</v>
      </c>
      <c r="E26" s="5">
        <v>52.02</v>
      </c>
      <c r="F26" s="5">
        <v>51.99</v>
      </c>
      <c r="G26" s="5">
        <f t="shared" si="0"/>
        <v>52.005000000000003</v>
      </c>
      <c r="H26" s="7"/>
      <c r="I26" s="7"/>
      <c r="J26" s="7"/>
      <c r="K26" s="7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>
        <v>51.993000000000002</v>
      </c>
      <c r="BF26" s="5">
        <v>51.997999999999998</v>
      </c>
      <c r="BG26" s="5">
        <v>52.011000000000003</v>
      </c>
      <c r="BH26" s="5">
        <v>51.996000000000002</v>
      </c>
      <c r="BI26" s="5">
        <v>51.991</v>
      </c>
      <c r="BJ26" s="5"/>
      <c r="BK26" s="5"/>
      <c r="BL26" s="5"/>
      <c r="BM26" s="5"/>
      <c r="BN26" s="5"/>
      <c r="BO26" s="5">
        <v>52.009</v>
      </c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>
        <v>52.015000000000001</v>
      </c>
      <c r="CJ26" s="5">
        <v>52.011000000000003</v>
      </c>
      <c r="CK26" s="5">
        <v>52.014000000000003</v>
      </c>
      <c r="CL26" s="5">
        <v>52.015999999999998</v>
      </c>
      <c r="CM26" s="5">
        <v>52.012999999999998</v>
      </c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>
        <v>52.015000000000001</v>
      </c>
      <c r="DI26" s="5">
        <v>52.018000000000001</v>
      </c>
      <c r="DJ26" s="5">
        <v>52.015999999999998</v>
      </c>
      <c r="DK26" s="5">
        <v>52.011000000000003</v>
      </c>
      <c r="DL26" s="5">
        <v>52.014000000000003</v>
      </c>
      <c r="DM26" s="5">
        <v>52.011000000000003</v>
      </c>
      <c r="DN26" s="5">
        <v>52.012</v>
      </c>
      <c r="DO26" s="5">
        <v>52.012</v>
      </c>
      <c r="DP26" s="5">
        <v>52.012</v>
      </c>
      <c r="DQ26" s="5">
        <v>52.01</v>
      </c>
      <c r="DR26" s="5">
        <v>52.014000000000003</v>
      </c>
      <c r="DS26" s="5">
        <v>52.015999999999998</v>
      </c>
      <c r="DT26" s="5">
        <v>52.012</v>
      </c>
      <c r="DU26" s="5">
        <v>52.01</v>
      </c>
      <c r="DV26" s="5">
        <v>52.011000000000003</v>
      </c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>
        <v>52.015000000000001</v>
      </c>
      <c r="HQ26" s="13">
        <v>52.011000000000003</v>
      </c>
      <c r="HR26" s="14">
        <v>52.01</v>
      </c>
      <c r="HS26" s="14">
        <v>52.012</v>
      </c>
      <c r="HT26" s="14">
        <v>52.014000000000003</v>
      </c>
      <c r="HU26" s="14"/>
      <c r="HV26" s="14"/>
      <c r="HW26" s="14"/>
      <c r="HX26" s="14"/>
      <c r="HY26" s="14"/>
      <c r="HZ26" s="14"/>
      <c r="IA26" s="14"/>
      <c r="IB26" s="11"/>
      <c r="IC26" s="11"/>
      <c r="ID26" s="11"/>
      <c r="IE26" s="11"/>
      <c r="IF26" s="11"/>
      <c r="IG26" s="11"/>
      <c r="IH26" s="11"/>
      <c r="II26" s="11"/>
      <c r="IJ26" s="11"/>
      <c r="IK26" s="11"/>
      <c r="IL26" s="14"/>
      <c r="IM26" s="14"/>
      <c r="IN26" s="14"/>
      <c r="IO26" s="14"/>
      <c r="IP26" s="14"/>
      <c r="IQ26" s="14">
        <v>52.003999999999998</v>
      </c>
      <c r="IR26" s="14">
        <v>52.003</v>
      </c>
      <c r="IS26" s="14">
        <v>52.002000000000002</v>
      </c>
      <c r="IT26" s="14">
        <v>52.011000000000003</v>
      </c>
      <c r="IU26" s="14">
        <v>52.01</v>
      </c>
      <c r="IV26" s="14"/>
      <c r="IW26" s="14"/>
      <c r="IX26" s="14"/>
      <c r="IY26" s="14"/>
      <c r="IZ26" s="14"/>
      <c r="JA26" s="14">
        <v>52.012</v>
      </c>
      <c r="JB26" s="14">
        <v>52.01</v>
      </c>
      <c r="JC26" s="14">
        <v>52.009</v>
      </c>
      <c r="JD26" s="14">
        <v>52.014000000000003</v>
      </c>
      <c r="JE26" s="14">
        <v>52.012</v>
      </c>
      <c r="JF26" s="14"/>
      <c r="JG26" s="14"/>
      <c r="JH26" s="14"/>
      <c r="JI26" s="14"/>
      <c r="JJ26" s="14"/>
      <c r="JK26" s="14">
        <v>52.008000000000003</v>
      </c>
      <c r="JL26" s="14">
        <v>52.006</v>
      </c>
      <c r="JM26" s="14">
        <v>52.003999999999998</v>
      </c>
      <c r="JN26" s="14">
        <v>52.006</v>
      </c>
      <c r="JO26" s="14">
        <v>52.005000000000003</v>
      </c>
      <c r="JP26" s="14"/>
      <c r="JQ26" s="14"/>
      <c r="JR26" s="14"/>
      <c r="JS26" s="14"/>
      <c r="JT26" s="14"/>
      <c r="JU26" s="14">
        <v>52.006</v>
      </c>
      <c r="JV26" s="14">
        <v>52.008000000000003</v>
      </c>
      <c r="JW26" s="14">
        <v>52.003999999999998</v>
      </c>
      <c r="JX26" s="14">
        <v>52.01</v>
      </c>
      <c r="JY26" s="14">
        <v>52.012</v>
      </c>
      <c r="JZ26" s="14"/>
      <c r="KA26" s="14"/>
      <c r="KB26" s="14"/>
      <c r="KC26" s="14"/>
      <c r="KD26" s="14"/>
      <c r="KE26" s="14">
        <v>52.003999999999998</v>
      </c>
      <c r="KF26" s="14">
        <v>52.006</v>
      </c>
      <c r="KG26" s="14">
        <v>52.012</v>
      </c>
      <c r="KH26" s="14">
        <v>52.011000000000003</v>
      </c>
      <c r="KI26" s="14">
        <v>52.009</v>
      </c>
      <c r="KJ26" s="14"/>
      <c r="KK26" s="14"/>
      <c r="KL26" s="14"/>
      <c r="KM26" s="14"/>
      <c r="KN26" s="14"/>
      <c r="KO26" s="14"/>
      <c r="KP26" s="14"/>
      <c r="KQ26" s="14"/>
      <c r="KR26" s="14"/>
      <c r="KS26" s="14"/>
      <c r="KT26" s="14"/>
      <c r="KU26" s="14"/>
      <c r="KV26" s="14"/>
      <c r="KW26" s="14"/>
      <c r="KX26" s="14"/>
      <c r="KY26" s="14"/>
      <c r="KZ26" s="14"/>
      <c r="LA26" s="14"/>
      <c r="LB26" s="14"/>
      <c r="LC26" s="14"/>
      <c r="LD26" s="14"/>
      <c r="LE26" s="14"/>
      <c r="LF26" s="14"/>
      <c r="LG26" s="14"/>
      <c r="LH26" s="14"/>
      <c r="LI26" s="14"/>
      <c r="LJ26" s="14"/>
      <c r="LK26" s="14"/>
      <c r="LL26" s="14"/>
      <c r="LM26" s="14"/>
      <c r="LN26" s="22">
        <f t="shared" si="1"/>
        <v>21</v>
      </c>
      <c r="LO26" s="6">
        <f t="shared" si="2"/>
        <v>115.96238095238093</v>
      </c>
      <c r="LP26" s="21">
        <f t="shared" si="3"/>
        <v>1.8682816143386585E-2</v>
      </c>
      <c r="LQ26" s="7">
        <f t="shared" si="4"/>
        <v>0.8920853547319979</v>
      </c>
      <c r="LR26" s="7">
        <f t="shared" si="5"/>
        <v>0.67118802879887463</v>
      </c>
      <c r="LS26" s="7">
        <f t="shared" si="6"/>
        <v>1.1129826806651211</v>
      </c>
      <c r="LT26" s="7">
        <f t="shared" si="7"/>
        <v>0.67118802879887463</v>
      </c>
      <c r="LU26" s="48"/>
      <c r="LV26" s="48"/>
      <c r="LW26" s="48"/>
      <c r="LX26" s="48"/>
    </row>
    <row r="27" spans="1:337">
      <c r="A27" s="21" t="s">
        <v>41</v>
      </c>
      <c r="B27" s="21" t="s">
        <v>42</v>
      </c>
      <c r="C27" s="21" t="s">
        <v>43</v>
      </c>
      <c r="D27" s="21" t="s">
        <v>38</v>
      </c>
      <c r="E27" s="5">
        <v>14.03</v>
      </c>
      <c r="F27" s="5">
        <v>13.98</v>
      </c>
      <c r="G27" s="5">
        <f t="shared" si="0"/>
        <v>14.004999999999999</v>
      </c>
      <c r="H27" s="7"/>
      <c r="I27" s="7"/>
      <c r="J27" s="7"/>
      <c r="K27" s="7"/>
      <c r="L27" s="5">
        <v>14.018000000000001</v>
      </c>
      <c r="M27" s="5">
        <v>14.016999999999999</v>
      </c>
      <c r="N27" s="5">
        <v>14.019</v>
      </c>
      <c r="O27" s="5">
        <v>14.018000000000001</v>
      </c>
      <c r="P27" s="5">
        <v>14.016</v>
      </c>
      <c r="Q27" s="5">
        <v>14.026</v>
      </c>
      <c r="R27" s="5">
        <v>14.022</v>
      </c>
      <c r="S27" s="5">
        <v>14.023999999999999</v>
      </c>
      <c r="T27" s="5">
        <v>14.026</v>
      </c>
      <c r="U27" s="5">
        <v>14.023</v>
      </c>
      <c r="V27" s="5">
        <v>14.012</v>
      </c>
      <c r="W27" s="5">
        <v>14.015000000000001</v>
      </c>
      <c r="X27" s="5">
        <v>14.010999999999999</v>
      </c>
      <c r="Y27" s="5">
        <v>14.012</v>
      </c>
      <c r="Z27" s="5">
        <v>14.013999999999999</v>
      </c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>
        <v>13.983000000000001</v>
      </c>
      <c r="BF27" s="5">
        <v>13.988</v>
      </c>
      <c r="BG27" s="5">
        <v>13.981999999999999</v>
      </c>
      <c r="BH27" s="5">
        <v>14.003</v>
      </c>
      <c r="BI27" s="5">
        <v>13.986000000000001</v>
      </c>
      <c r="BJ27" s="5"/>
      <c r="BK27" s="5"/>
      <c r="BL27" s="5"/>
      <c r="BM27" s="5"/>
      <c r="BN27" s="5"/>
      <c r="BO27" s="5">
        <v>14.021000000000001</v>
      </c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>
        <v>14.016</v>
      </c>
      <c r="CJ27" s="5">
        <v>14.012</v>
      </c>
      <c r="CK27" s="5">
        <v>14.018000000000001</v>
      </c>
      <c r="CL27" s="5">
        <v>14.021000000000001</v>
      </c>
      <c r="CM27" s="5">
        <v>14.022</v>
      </c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>
        <v>14.016</v>
      </c>
      <c r="DI27" s="5">
        <v>14.018000000000001</v>
      </c>
      <c r="DJ27" s="5">
        <v>14.015000000000001</v>
      </c>
      <c r="DK27" s="5">
        <v>14.012</v>
      </c>
      <c r="DL27" s="5">
        <v>14.013</v>
      </c>
      <c r="DM27" s="5">
        <v>14.013</v>
      </c>
      <c r="DN27" s="5">
        <v>14.01</v>
      </c>
      <c r="DO27" s="5">
        <v>14.01</v>
      </c>
      <c r="DP27" s="5">
        <v>14.012</v>
      </c>
      <c r="DQ27" s="5">
        <v>14.012</v>
      </c>
      <c r="DR27" s="5">
        <v>14.02</v>
      </c>
      <c r="DS27" s="5">
        <v>14.021000000000001</v>
      </c>
      <c r="DT27" s="5">
        <v>14.018000000000001</v>
      </c>
      <c r="DU27" s="5">
        <v>14.016</v>
      </c>
      <c r="DV27" s="5">
        <v>14.015000000000001</v>
      </c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>
        <v>14.012</v>
      </c>
      <c r="HQ27" s="13">
        <v>14.009</v>
      </c>
      <c r="HR27" s="14">
        <v>14.01</v>
      </c>
      <c r="HS27" s="14">
        <v>14.015000000000001</v>
      </c>
      <c r="HT27" s="14">
        <v>14.016</v>
      </c>
      <c r="HU27" s="14"/>
      <c r="HV27" s="14"/>
      <c r="HW27" s="14"/>
      <c r="HX27" s="14"/>
      <c r="HY27" s="14"/>
      <c r="HZ27" s="14"/>
      <c r="IA27" s="14"/>
      <c r="IB27" s="11"/>
      <c r="IC27" s="11"/>
      <c r="ID27" s="11"/>
      <c r="IE27" s="11"/>
      <c r="IF27" s="11"/>
      <c r="IG27" s="11"/>
      <c r="IH27" s="11"/>
      <c r="II27" s="11"/>
      <c r="IJ27" s="11"/>
      <c r="IK27" s="11"/>
      <c r="IL27" s="14"/>
      <c r="IM27" s="14"/>
      <c r="IN27" s="14"/>
      <c r="IO27" s="14"/>
      <c r="IP27" s="14"/>
      <c r="IQ27" s="14">
        <v>14.019</v>
      </c>
      <c r="IR27" s="14">
        <v>14.018000000000001</v>
      </c>
      <c r="IS27" s="14">
        <v>14.02</v>
      </c>
      <c r="IT27" s="14">
        <v>14.021000000000001</v>
      </c>
      <c r="IU27" s="14">
        <v>14.022</v>
      </c>
      <c r="IV27" s="14"/>
      <c r="IW27" s="14"/>
      <c r="IX27" s="14"/>
      <c r="IY27" s="14"/>
      <c r="IZ27" s="14"/>
      <c r="JA27" s="14">
        <v>14.016999999999999</v>
      </c>
      <c r="JB27" s="14">
        <v>14.019</v>
      </c>
      <c r="JC27" s="14">
        <v>14.018000000000001</v>
      </c>
      <c r="JD27" s="14">
        <v>14.021000000000001</v>
      </c>
      <c r="JE27" s="14">
        <v>14.02</v>
      </c>
      <c r="JF27" s="14"/>
      <c r="JG27" s="14"/>
      <c r="JH27" s="14"/>
      <c r="JI27" s="14"/>
      <c r="JJ27" s="14"/>
      <c r="JK27" s="14">
        <v>14.018000000000001</v>
      </c>
      <c r="JL27" s="14">
        <v>14.016999999999999</v>
      </c>
      <c r="JM27" s="14">
        <v>14.022</v>
      </c>
      <c r="JN27" s="14">
        <v>14.019</v>
      </c>
      <c r="JO27" s="14">
        <v>14.015000000000001</v>
      </c>
      <c r="JP27" s="14"/>
      <c r="JQ27" s="14"/>
      <c r="JR27" s="14"/>
      <c r="JS27" s="14"/>
      <c r="JT27" s="14"/>
      <c r="JU27" s="14">
        <v>14.015000000000001</v>
      </c>
      <c r="JV27" s="14">
        <v>14.016</v>
      </c>
      <c r="JW27" s="14">
        <v>14.018000000000001</v>
      </c>
      <c r="JX27" s="14">
        <v>14.021000000000001</v>
      </c>
      <c r="JY27" s="14">
        <v>14.013999999999999</v>
      </c>
      <c r="JZ27" s="14"/>
      <c r="KA27" s="14"/>
      <c r="KB27" s="14"/>
      <c r="KC27" s="14"/>
      <c r="KD27" s="14"/>
      <c r="KE27" s="14">
        <v>14.018000000000001</v>
      </c>
      <c r="KF27" s="14">
        <v>14.016999999999999</v>
      </c>
      <c r="KG27" s="14">
        <v>14.013999999999999</v>
      </c>
      <c r="KH27" s="14">
        <v>14.012</v>
      </c>
      <c r="KI27" s="14">
        <v>14.015000000000001</v>
      </c>
      <c r="KJ27" s="14"/>
      <c r="KK27" s="14"/>
      <c r="KL27" s="14"/>
      <c r="KM27" s="14"/>
      <c r="KN27" s="14"/>
      <c r="KO27" s="14"/>
      <c r="KP27" s="14"/>
      <c r="KQ27" s="14"/>
      <c r="KR27" s="14"/>
      <c r="KS27" s="14"/>
      <c r="KT27" s="14"/>
      <c r="KU27" s="14"/>
      <c r="KV27" s="14"/>
      <c r="KW27" s="14"/>
      <c r="KX27" s="14"/>
      <c r="KY27" s="14"/>
      <c r="KZ27" s="14"/>
      <c r="LA27" s="14"/>
      <c r="LB27" s="14"/>
      <c r="LC27" s="14"/>
      <c r="LD27" s="14"/>
      <c r="LE27" s="14"/>
      <c r="LF27" s="14"/>
      <c r="LG27" s="14"/>
      <c r="LH27" s="14"/>
      <c r="LI27" s="14"/>
      <c r="LJ27" s="14"/>
      <c r="LK27" s="14"/>
      <c r="LL27" s="14"/>
      <c r="LM27" s="14"/>
      <c r="LN27" s="22">
        <f t="shared" si="1"/>
        <v>40</v>
      </c>
      <c r="LO27" s="6">
        <f t="shared" si="2"/>
        <v>61.94791</v>
      </c>
      <c r="LP27" s="21">
        <f t="shared" si="3"/>
        <v>6.4582207599787177E-3</v>
      </c>
      <c r="LQ27" s="7">
        <f t="shared" si="4"/>
        <v>0.7742070433678806</v>
      </c>
      <c r="LR27" s="7">
        <f t="shared" si="5"/>
        <v>0.52078327117201273</v>
      </c>
      <c r="LS27" s="7">
        <f t="shared" si="6"/>
        <v>1.0276308155637484</v>
      </c>
      <c r="LT27" s="7">
        <f t="shared" si="7"/>
        <v>0.52078327117201273</v>
      </c>
      <c r="LU27" s="48"/>
      <c r="LV27" s="48"/>
      <c r="LW27" s="48"/>
      <c r="LX27" s="48"/>
    </row>
    <row r="28" spans="1:337">
      <c r="A28" s="21" t="s">
        <v>41</v>
      </c>
      <c r="B28" s="21" t="s">
        <v>42</v>
      </c>
      <c r="C28" s="21" t="s">
        <v>43</v>
      </c>
      <c r="D28" s="21" t="s">
        <v>39</v>
      </c>
      <c r="E28" s="5">
        <v>116</v>
      </c>
      <c r="F28" s="5">
        <v>115.9</v>
      </c>
      <c r="G28" s="5">
        <f t="shared" si="0"/>
        <v>115.95</v>
      </c>
      <c r="H28" s="7"/>
      <c r="I28" s="7"/>
      <c r="J28" s="7"/>
      <c r="K28" s="7"/>
      <c r="L28" s="5">
        <v>115.97</v>
      </c>
      <c r="M28" s="5">
        <v>115.95</v>
      </c>
      <c r="N28" s="5">
        <v>115.96</v>
      </c>
      <c r="O28" s="5">
        <v>115.96</v>
      </c>
      <c r="P28" s="5">
        <v>115.98</v>
      </c>
      <c r="Q28" s="5">
        <v>115.92</v>
      </c>
      <c r="R28" s="5">
        <v>115.95</v>
      </c>
      <c r="S28" s="5">
        <v>115.95</v>
      </c>
      <c r="T28" s="5">
        <v>115.94</v>
      </c>
      <c r="U28" s="5">
        <v>115.95</v>
      </c>
      <c r="V28" s="5">
        <v>115.98</v>
      </c>
      <c r="W28" s="5">
        <v>115.99</v>
      </c>
      <c r="X28" s="5">
        <v>115.99</v>
      </c>
      <c r="Y28" s="5">
        <v>115.94</v>
      </c>
      <c r="Z28" s="5">
        <v>115.96</v>
      </c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>
        <v>115.97</v>
      </c>
      <c r="BF28" s="5">
        <v>115.99</v>
      </c>
      <c r="BG28" s="5">
        <v>115.96</v>
      </c>
      <c r="BH28" s="5">
        <v>115.95</v>
      </c>
      <c r="BI28" s="5">
        <v>115.97</v>
      </c>
      <c r="BJ28" s="5"/>
      <c r="BK28" s="5"/>
      <c r="BL28" s="5"/>
      <c r="BM28" s="5"/>
      <c r="BN28" s="5"/>
      <c r="BO28" s="5">
        <v>115.98</v>
      </c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>
        <v>115.96</v>
      </c>
      <c r="CJ28" s="5">
        <v>115.93</v>
      </c>
      <c r="CK28" s="5">
        <v>115.98</v>
      </c>
      <c r="CL28" s="5">
        <v>115.96</v>
      </c>
      <c r="CM28" s="5">
        <v>115.96</v>
      </c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>
        <v>115.96</v>
      </c>
      <c r="DI28" s="5">
        <v>115.95</v>
      </c>
      <c r="DJ28" s="5">
        <v>115.97</v>
      </c>
      <c r="DK28" s="5">
        <v>115.96</v>
      </c>
      <c r="DL28" s="5">
        <v>115.94</v>
      </c>
      <c r="DM28" s="5">
        <v>115.99</v>
      </c>
      <c r="DN28" s="5">
        <v>115.98</v>
      </c>
      <c r="DO28" s="5">
        <v>115.98</v>
      </c>
      <c r="DP28" s="5">
        <v>115.99</v>
      </c>
      <c r="DQ28" s="5">
        <v>115.99</v>
      </c>
      <c r="DR28" s="5">
        <v>115.97</v>
      </c>
      <c r="DS28" s="5">
        <v>115.95</v>
      </c>
      <c r="DT28" s="5">
        <v>115.97</v>
      </c>
      <c r="DU28" s="5">
        <v>115.95</v>
      </c>
      <c r="DV28" s="5">
        <v>115.94</v>
      </c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>
        <v>115.92</v>
      </c>
      <c r="HQ28" s="13">
        <v>115.94</v>
      </c>
      <c r="HR28" s="14">
        <v>115.95</v>
      </c>
      <c r="HS28" s="14">
        <v>115.94</v>
      </c>
      <c r="HT28" s="14">
        <v>115.93</v>
      </c>
      <c r="HU28" s="14"/>
      <c r="HV28" s="14"/>
      <c r="HW28" s="14"/>
      <c r="HX28" s="14"/>
      <c r="HY28" s="14"/>
      <c r="HZ28" s="14"/>
      <c r="IA28" s="14"/>
      <c r="IB28" s="11"/>
      <c r="IC28" s="11"/>
      <c r="ID28" s="11"/>
      <c r="IE28" s="11"/>
      <c r="IF28" s="11"/>
      <c r="IG28" s="11"/>
      <c r="IH28" s="11"/>
      <c r="II28" s="11"/>
      <c r="IJ28" s="11"/>
      <c r="IK28" s="11"/>
      <c r="IL28" s="14"/>
      <c r="IM28" s="14"/>
      <c r="IN28" s="14"/>
      <c r="IO28" s="14"/>
      <c r="IP28" s="14"/>
      <c r="IQ28" s="14"/>
      <c r="IR28" s="14"/>
      <c r="IS28" s="14"/>
      <c r="IT28" s="14"/>
      <c r="IU28" s="14"/>
      <c r="IV28" s="14"/>
      <c r="IW28" s="14"/>
      <c r="IX28" s="14"/>
      <c r="IY28" s="14"/>
      <c r="IZ28" s="14"/>
      <c r="JA28" s="14">
        <v>116.01</v>
      </c>
      <c r="JB28" s="14">
        <v>115.94</v>
      </c>
      <c r="JC28" s="14">
        <v>115.98</v>
      </c>
      <c r="JD28" s="14">
        <v>115.92</v>
      </c>
      <c r="JE28" s="14">
        <v>115.93</v>
      </c>
      <c r="JF28" s="14"/>
      <c r="JG28" s="14"/>
      <c r="JH28" s="14"/>
      <c r="JI28" s="14"/>
      <c r="JJ28" s="14"/>
      <c r="JK28" s="14">
        <v>115.99</v>
      </c>
      <c r="JL28" s="14">
        <v>115.93</v>
      </c>
      <c r="JM28" s="14">
        <v>115.93</v>
      </c>
      <c r="JN28" s="14">
        <v>115.95</v>
      </c>
      <c r="JO28" s="14">
        <v>115.92</v>
      </c>
      <c r="JP28" s="14"/>
      <c r="JQ28" s="14"/>
      <c r="JR28" s="14"/>
      <c r="JS28" s="14"/>
      <c r="JT28" s="14"/>
      <c r="JU28" s="14">
        <v>115.99</v>
      </c>
      <c r="JV28" s="14">
        <v>115.94</v>
      </c>
      <c r="JW28" s="14">
        <v>115.98</v>
      </c>
      <c r="JX28" s="14">
        <v>115.92</v>
      </c>
      <c r="JY28" s="14">
        <v>115.94</v>
      </c>
      <c r="JZ28" s="14"/>
      <c r="KA28" s="14"/>
      <c r="KB28" s="14"/>
      <c r="KC28" s="14"/>
      <c r="KD28" s="14"/>
      <c r="KE28" s="14">
        <v>115.99</v>
      </c>
      <c r="KF28" s="14">
        <v>115.94</v>
      </c>
      <c r="KG28" s="14">
        <v>115.96</v>
      </c>
      <c r="KH28" s="14">
        <v>115.91</v>
      </c>
      <c r="KI28" s="14">
        <v>115.93</v>
      </c>
      <c r="KJ28" s="14"/>
      <c r="KK28" s="14"/>
      <c r="KL28" s="14"/>
      <c r="KM28" s="14"/>
      <c r="KN28" s="14"/>
      <c r="KO28" s="14"/>
      <c r="KP28" s="14"/>
      <c r="KQ28" s="14"/>
      <c r="KR28" s="14"/>
      <c r="KS28" s="14"/>
      <c r="KT28" s="14"/>
      <c r="KU28" s="14"/>
      <c r="KV28" s="14"/>
      <c r="KW28" s="14"/>
      <c r="KX28" s="14"/>
      <c r="KY28" s="14"/>
      <c r="KZ28" s="14"/>
      <c r="LA28" s="14"/>
      <c r="LB28" s="14"/>
      <c r="LC28" s="14"/>
      <c r="LD28" s="14"/>
      <c r="LE28" s="14"/>
      <c r="LF28" s="14"/>
      <c r="LG28" s="14"/>
      <c r="LH28" s="14"/>
      <c r="LI28" s="14"/>
      <c r="LJ28" s="14"/>
      <c r="LK28" s="14"/>
      <c r="LL28" s="14"/>
      <c r="LM28" s="14"/>
      <c r="LN28" s="22">
        <f t="shared" si="1"/>
        <v>25</v>
      </c>
      <c r="LO28" s="6">
        <f t="shared" si="2"/>
        <v>85.025919999999999</v>
      </c>
      <c r="LP28" s="21">
        <f t="shared" si="3"/>
        <v>5.4766169606192492E-3</v>
      </c>
      <c r="LQ28" s="7">
        <f t="shared" si="4"/>
        <v>0.91297237618656313</v>
      </c>
      <c r="LR28" s="7">
        <f t="shared" si="5"/>
        <v>0.85697673711417932</v>
      </c>
      <c r="LS28" s="7">
        <f t="shared" si="6"/>
        <v>0.96896801525894682</v>
      </c>
      <c r="LT28" s="7">
        <f t="shared" si="7"/>
        <v>0.85697673711417932</v>
      </c>
      <c r="LU28" s="48"/>
      <c r="LV28" s="48"/>
      <c r="LW28" s="48"/>
      <c r="LX28" s="48"/>
    </row>
    <row r="29" spans="1:337">
      <c r="A29" s="21" t="s">
        <v>41</v>
      </c>
      <c r="B29" s="21" t="s">
        <v>42</v>
      </c>
      <c r="C29" s="21" t="s">
        <v>44</v>
      </c>
      <c r="D29" s="21" t="s">
        <v>33</v>
      </c>
      <c r="E29" s="5">
        <v>61.957999999999998</v>
      </c>
      <c r="F29" s="5">
        <v>61.927999999999997</v>
      </c>
      <c r="G29" s="5">
        <f t="shared" si="0"/>
        <v>61.942999999999998</v>
      </c>
      <c r="H29" s="7"/>
      <c r="I29" s="7"/>
      <c r="J29" s="7"/>
      <c r="K29" s="7"/>
      <c r="L29" s="5">
        <v>61.954000000000001</v>
      </c>
      <c r="M29" s="5">
        <v>61.951999999999998</v>
      </c>
      <c r="N29" s="5">
        <v>61.95</v>
      </c>
      <c r="O29" s="5">
        <v>61.948</v>
      </c>
      <c r="P29" s="5">
        <v>61.948999999999998</v>
      </c>
      <c r="Q29" s="5">
        <v>61.933999999999997</v>
      </c>
      <c r="R29" s="5">
        <v>61.93</v>
      </c>
      <c r="S29" s="5">
        <v>61.933</v>
      </c>
      <c r="T29" s="5">
        <v>61.933999999999997</v>
      </c>
      <c r="U29" s="5">
        <v>61.945</v>
      </c>
      <c r="V29" s="5">
        <v>61.956000000000003</v>
      </c>
      <c r="W29" s="5">
        <v>61.951000000000001</v>
      </c>
      <c r="X29" s="5">
        <v>61.951999999999998</v>
      </c>
      <c r="Y29" s="5">
        <v>61.954999999999998</v>
      </c>
      <c r="Z29" s="5">
        <v>61.953000000000003</v>
      </c>
      <c r="AA29" s="5"/>
      <c r="AB29" s="5"/>
      <c r="AC29" s="5"/>
      <c r="AD29" s="5"/>
      <c r="AE29" s="5"/>
      <c r="AF29" s="5">
        <v>61.954000000000001</v>
      </c>
      <c r="AG29" s="5">
        <v>61.948</v>
      </c>
      <c r="AH29" s="5">
        <v>61.951999999999998</v>
      </c>
      <c r="AI29" s="5">
        <v>61.95</v>
      </c>
      <c r="AJ29" s="5">
        <v>61.954999999999998</v>
      </c>
      <c r="AK29" s="5"/>
      <c r="AL29" s="5"/>
      <c r="AM29" s="5"/>
      <c r="AN29" s="5"/>
      <c r="AO29" s="5"/>
      <c r="AP29" s="5">
        <v>61.95</v>
      </c>
      <c r="AQ29" s="5">
        <v>61.948</v>
      </c>
      <c r="AR29" s="5">
        <v>61.948999999999998</v>
      </c>
      <c r="AS29" s="5">
        <v>61.951000000000001</v>
      </c>
      <c r="AT29" s="5">
        <v>61.95</v>
      </c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>
        <v>61.935000000000002</v>
      </c>
      <c r="BF29" s="5">
        <v>61.951000000000001</v>
      </c>
      <c r="BG29" s="5">
        <v>61.948</v>
      </c>
      <c r="BH29" s="5">
        <v>61.95</v>
      </c>
      <c r="BI29" s="5">
        <v>61.945999999999998</v>
      </c>
      <c r="BJ29" s="5"/>
      <c r="BK29" s="5"/>
      <c r="BL29" s="5"/>
      <c r="BM29" s="5"/>
      <c r="BN29" s="5"/>
      <c r="BO29" s="5">
        <v>61.951000000000001</v>
      </c>
      <c r="BP29" s="5">
        <v>61.948</v>
      </c>
      <c r="BQ29" s="5">
        <v>61.954000000000001</v>
      </c>
      <c r="BR29" s="5">
        <v>61.951999999999998</v>
      </c>
      <c r="BS29" s="5">
        <v>61.953000000000003</v>
      </c>
      <c r="BT29" s="5"/>
      <c r="BU29" s="5"/>
      <c r="BV29" s="5"/>
      <c r="BW29" s="5"/>
      <c r="BX29" s="5"/>
      <c r="BY29" s="5">
        <v>61.945</v>
      </c>
      <c r="BZ29" s="5">
        <v>61.948</v>
      </c>
      <c r="CA29" s="5">
        <v>61.945999999999998</v>
      </c>
      <c r="CB29" s="5">
        <v>61.942</v>
      </c>
      <c r="CC29" s="5">
        <v>61.944400000000002</v>
      </c>
      <c r="CD29" s="5"/>
      <c r="CE29" s="5"/>
      <c r="CF29" s="5"/>
      <c r="CG29" s="5"/>
      <c r="CH29" s="5"/>
      <c r="CI29" s="5">
        <v>61.956000000000003</v>
      </c>
      <c r="CJ29" s="5">
        <v>61.951999999999998</v>
      </c>
      <c r="CK29" s="5">
        <v>61.945</v>
      </c>
      <c r="CL29" s="5">
        <v>61.948</v>
      </c>
      <c r="CM29" s="5">
        <v>61.948999999999998</v>
      </c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>
        <v>61.945999999999998</v>
      </c>
      <c r="DI29" s="5">
        <v>61.944000000000003</v>
      </c>
      <c r="DJ29" s="5">
        <v>61.951000000000001</v>
      </c>
      <c r="DK29" s="5">
        <v>61.951999999999998</v>
      </c>
      <c r="DL29" s="5">
        <v>61.948</v>
      </c>
      <c r="DM29" s="5">
        <v>61.948999999999998</v>
      </c>
      <c r="DN29" s="5">
        <v>61.942999999999998</v>
      </c>
      <c r="DO29" s="5">
        <v>61.944000000000003</v>
      </c>
      <c r="DP29" s="5">
        <v>61.944000000000003</v>
      </c>
      <c r="DQ29" s="5">
        <v>61.942999999999998</v>
      </c>
      <c r="DR29" s="5">
        <v>61.942</v>
      </c>
      <c r="DS29" s="5">
        <v>61.948</v>
      </c>
      <c r="DT29" s="5">
        <v>61.945999999999998</v>
      </c>
      <c r="DU29" s="5">
        <v>61.951999999999998</v>
      </c>
      <c r="DV29" s="5">
        <v>61.951000000000001</v>
      </c>
      <c r="DW29" s="5">
        <v>61.945999999999998</v>
      </c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>
        <v>61.944000000000003</v>
      </c>
      <c r="HM29" s="5">
        <v>61.947000000000003</v>
      </c>
      <c r="HN29" s="5">
        <v>61.95</v>
      </c>
      <c r="HO29" s="5">
        <v>61.951000000000001</v>
      </c>
      <c r="HP29" s="5">
        <v>61.951000000000001</v>
      </c>
      <c r="HQ29" s="13">
        <v>61.948</v>
      </c>
      <c r="HR29" s="14">
        <v>61.944000000000003</v>
      </c>
      <c r="HS29" s="14">
        <v>61.95</v>
      </c>
      <c r="HT29" s="14">
        <v>61.954999999999998</v>
      </c>
      <c r="HU29" s="14"/>
      <c r="HV29" s="14"/>
      <c r="HW29" s="14"/>
      <c r="HX29" s="14"/>
      <c r="HY29" s="14"/>
      <c r="HZ29" s="14"/>
      <c r="IA29" s="14"/>
      <c r="IB29" s="11"/>
      <c r="IC29" s="11"/>
      <c r="ID29" s="11"/>
      <c r="IE29" s="11"/>
      <c r="IF29" s="11"/>
      <c r="IG29" s="11"/>
      <c r="IH29" s="11"/>
      <c r="II29" s="11"/>
      <c r="IJ29" s="11"/>
      <c r="IK29" s="11"/>
      <c r="IL29" s="14">
        <v>61.939</v>
      </c>
      <c r="IM29" s="14">
        <v>61.951999999999998</v>
      </c>
      <c r="IN29" s="14">
        <v>61.948999999999998</v>
      </c>
      <c r="IO29" s="14">
        <v>61.948</v>
      </c>
      <c r="IP29" s="14">
        <v>61.95</v>
      </c>
      <c r="IQ29" s="14">
        <v>61.939</v>
      </c>
      <c r="IR29" s="14">
        <v>61.951999999999998</v>
      </c>
      <c r="IS29" s="14">
        <v>61.948999999999998</v>
      </c>
      <c r="IT29" s="14">
        <v>61.948</v>
      </c>
      <c r="IU29" s="14">
        <v>61.95</v>
      </c>
      <c r="IV29" s="14"/>
      <c r="IW29" s="14"/>
      <c r="IX29" s="14"/>
      <c r="IY29" s="14"/>
      <c r="IZ29" s="14"/>
      <c r="JA29" s="14">
        <v>61.954000000000001</v>
      </c>
      <c r="JB29" s="14">
        <v>61.95</v>
      </c>
      <c r="JC29" s="14">
        <v>61.948</v>
      </c>
      <c r="JD29" s="14">
        <v>61.945999999999998</v>
      </c>
      <c r="JE29" s="14">
        <v>61.951999999999998</v>
      </c>
      <c r="JF29" s="14"/>
      <c r="JG29" s="14"/>
      <c r="JH29" s="14"/>
      <c r="JI29" s="14"/>
      <c r="JJ29" s="14"/>
      <c r="JK29" s="14">
        <v>61.95</v>
      </c>
      <c r="JL29" s="14">
        <v>61.951999999999998</v>
      </c>
      <c r="JM29" s="14">
        <v>61.948999999999998</v>
      </c>
      <c r="JN29" s="14">
        <v>61.951000000000001</v>
      </c>
      <c r="JO29" s="14">
        <v>61.951999999999998</v>
      </c>
      <c r="JP29" s="14"/>
      <c r="JQ29" s="14"/>
      <c r="JR29" s="14"/>
      <c r="JS29" s="14"/>
      <c r="JT29" s="14"/>
      <c r="JU29" s="14">
        <v>61.944000000000003</v>
      </c>
      <c r="JV29" s="14">
        <v>61.948</v>
      </c>
      <c r="JW29" s="14">
        <v>61.947000000000003</v>
      </c>
      <c r="JX29" s="14">
        <v>61.945</v>
      </c>
      <c r="JY29" s="14">
        <v>61.951000000000001</v>
      </c>
      <c r="JZ29" s="14"/>
      <c r="KA29" s="14"/>
      <c r="KB29" s="14"/>
      <c r="KC29" s="14"/>
      <c r="KD29" s="14"/>
      <c r="KE29" s="14">
        <v>60.951000000000001</v>
      </c>
      <c r="KF29" s="14">
        <v>61.948999999999998</v>
      </c>
      <c r="KG29" s="14">
        <v>61.948</v>
      </c>
      <c r="KH29" s="14">
        <v>61.945999999999998</v>
      </c>
      <c r="KI29" s="14">
        <v>61.951999999999998</v>
      </c>
      <c r="KJ29" s="14"/>
      <c r="KK29" s="14"/>
      <c r="KL29" s="14"/>
      <c r="KM29" s="14"/>
      <c r="KN29" s="14"/>
      <c r="KO29" s="14"/>
      <c r="KP29" s="14"/>
      <c r="KQ29" s="14"/>
      <c r="KR29" s="14"/>
      <c r="KS29" s="14"/>
      <c r="KT29" s="14"/>
      <c r="KU29" s="14"/>
      <c r="KV29" s="14"/>
      <c r="KW29" s="14"/>
      <c r="KX29" s="14"/>
      <c r="KY29" s="14"/>
      <c r="KZ29" s="14"/>
      <c r="LA29" s="14"/>
      <c r="LB29" s="14"/>
      <c r="LC29" s="14"/>
      <c r="LD29" s="14"/>
      <c r="LE29" s="14"/>
      <c r="LF29" s="14"/>
      <c r="LG29" s="14"/>
      <c r="LH29" s="14"/>
      <c r="LI29" s="14"/>
      <c r="LJ29" s="14"/>
      <c r="LK29" s="14"/>
      <c r="LL29" s="14"/>
      <c r="LM29" s="14"/>
      <c r="LN29" s="22">
        <f t="shared" si="1"/>
        <v>35</v>
      </c>
      <c r="LO29" s="6">
        <f t="shared" si="2"/>
        <v>16.051371428571429</v>
      </c>
      <c r="LP29" s="21">
        <f t="shared" si="3"/>
        <v>5.7410844289356867E-2</v>
      </c>
      <c r="LQ29" s="7">
        <f t="shared" si="4"/>
        <v>7.2576300144038486E-2</v>
      </c>
      <c r="LR29" s="7">
        <f t="shared" si="5"/>
        <v>-7.9626569300842911E-3</v>
      </c>
      <c r="LS29" s="7">
        <f t="shared" si="6"/>
        <v>0.15311525721816127</v>
      </c>
      <c r="LT29" s="7">
        <f t="shared" si="7"/>
        <v>-7.9626569300842911E-3</v>
      </c>
      <c r="LU29" s="48"/>
      <c r="LV29" s="48"/>
      <c r="LW29" s="48"/>
      <c r="LX29" s="48"/>
    </row>
    <row r="30" spans="1:337">
      <c r="A30" s="21" t="s">
        <v>41</v>
      </c>
      <c r="B30" s="21" t="s">
        <v>42</v>
      </c>
      <c r="C30" s="21" t="s">
        <v>44</v>
      </c>
      <c r="D30" s="21" t="s">
        <v>34</v>
      </c>
      <c r="E30" s="5">
        <v>85.04</v>
      </c>
      <c r="F30" s="5">
        <v>85.01</v>
      </c>
      <c r="G30" s="5">
        <f t="shared" si="0"/>
        <v>85.025000000000006</v>
      </c>
      <c r="H30" s="7"/>
      <c r="I30" s="7"/>
      <c r="J30" s="7"/>
      <c r="K30" s="7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>
        <v>85.027000000000001</v>
      </c>
      <c r="AG30" s="5">
        <v>85.028000000000006</v>
      </c>
      <c r="AH30" s="5">
        <v>85.031999999999996</v>
      </c>
      <c r="AI30" s="5">
        <v>85.034000000000006</v>
      </c>
      <c r="AJ30" s="5">
        <v>85.022000000000006</v>
      </c>
      <c r="AK30" s="5"/>
      <c r="AL30" s="5"/>
      <c r="AM30" s="5"/>
      <c r="AN30" s="5"/>
      <c r="AO30" s="5"/>
      <c r="AP30" s="5">
        <v>85.022999999999996</v>
      </c>
      <c r="AQ30" s="5">
        <v>85.012</v>
      </c>
      <c r="AR30" s="5">
        <v>85.025000000000006</v>
      </c>
      <c r="AS30" s="5">
        <v>85.031000000000006</v>
      </c>
      <c r="AT30" s="5">
        <v>85.025999999999996</v>
      </c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>
        <v>85.022999999999996</v>
      </c>
      <c r="BF30" s="5">
        <v>85.028000000000006</v>
      </c>
      <c r="BG30" s="5">
        <v>85.031000000000006</v>
      </c>
      <c r="BH30" s="5">
        <v>85.025999999999996</v>
      </c>
      <c r="BI30" s="5">
        <v>85.036000000000001</v>
      </c>
      <c r="BJ30" s="5"/>
      <c r="BK30" s="5"/>
      <c r="BL30" s="5"/>
      <c r="BM30" s="5"/>
      <c r="BN30" s="5"/>
      <c r="BO30" s="5">
        <v>85.031000000000006</v>
      </c>
      <c r="BP30" s="5">
        <v>85.028999999999996</v>
      </c>
      <c r="BQ30" s="5">
        <v>85.027000000000001</v>
      </c>
      <c r="BR30" s="5">
        <v>85.03</v>
      </c>
      <c r="BS30" s="5">
        <v>85.024000000000001</v>
      </c>
      <c r="BT30" s="5"/>
      <c r="BU30" s="5"/>
      <c r="BV30" s="5"/>
      <c r="BW30" s="5"/>
      <c r="BX30" s="5"/>
      <c r="BY30" s="5">
        <v>85.016999999999996</v>
      </c>
      <c r="BZ30" s="5">
        <v>85.021000000000001</v>
      </c>
      <c r="CA30" s="5">
        <v>85.024000000000001</v>
      </c>
      <c r="CB30" s="5">
        <v>85.019000000000005</v>
      </c>
      <c r="CC30" s="5">
        <v>85.022000000000006</v>
      </c>
      <c r="CD30" s="5"/>
      <c r="CE30" s="5"/>
      <c r="CF30" s="5"/>
      <c r="CG30" s="5"/>
      <c r="CH30" s="5"/>
      <c r="CI30" s="5">
        <v>85.027000000000001</v>
      </c>
      <c r="CJ30" s="5">
        <v>85.028999999999996</v>
      </c>
      <c r="CK30" s="5">
        <v>85.03</v>
      </c>
      <c r="CL30" s="5">
        <v>85.033000000000001</v>
      </c>
      <c r="CM30" s="5">
        <v>85.022000000000006</v>
      </c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>
        <v>85.031000000000006</v>
      </c>
      <c r="DI30" s="5">
        <v>85.028999999999996</v>
      </c>
      <c r="DJ30" s="5">
        <v>85.025000000000006</v>
      </c>
      <c r="DK30" s="5">
        <v>85.024000000000001</v>
      </c>
      <c r="DL30" s="5">
        <v>85.027000000000001</v>
      </c>
      <c r="DM30" s="5">
        <v>85.02</v>
      </c>
      <c r="DN30" s="5">
        <v>85.019000000000005</v>
      </c>
      <c r="DO30" s="5">
        <v>85.022000000000006</v>
      </c>
      <c r="DP30" s="5">
        <v>85.021000000000001</v>
      </c>
      <c r="DQ30" s="5">
        <v>85.019000000000005</v>
      </c>
      <c r="DR30" s="5">
        <v>85.021000000000001</v>
      </c>
      <c r="DS30" s="5">
        <v>85.022000000000006</v>
      </c>
      <c r="DT30" s="5">
        <v>85.027000000000001</v>
      </c>
      <c r="DU30" s="5">
        <v>85.028999999999996</v>
      </c>
      <c r="DV30" s="5">
        <v>85.03</v>
      </c>
      <c r="DW30" s="5">
        <v>85.018000000000001</v>
      </c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>
        <v>85.019000000000005</v>
      </c>
      <c r="HM30" s="5">
        <v>85.021000000000001</v>
      </c>
      <c r="HN30" s="5">
        <v>85.025999999999996</v>
      </c>
      <c r="HO30" s="5">
        <v>85.025999999999996</v>
      </c>
      <c r="HP30" s="5">
        <v>85.028999999999996</v>
      </c>
      <c r="HQ30" s="13">
        <v>85.027000000000001</v>
      </c>
      <c r="HR30" s="14">
        <v>85.025999999999996</v>
      </c>
      <c r="HS30" s="14">
        <v>85.028000000000006</v>
      </c>
      <c r="HT30" s="14">
        <v>85.031000000000006</v>
      </c>
      <c r="HU30" s="14"/>
      <c r="HV30" s="14"/>
      <c r="HW30" s="14"/>
      <c r="HX30" s="14"/>
      <c r="HY30" s="14"/>
      <c r="HZ30" s="14"/>
      <c r="IA30" s="14"/>
      <c r="IB30" s="11"/>
      <c r="IC30" s="11"/>
      <c r="ID30" s="11"/>
      <c r="IE30" s="11"/>
      <c r="IF30" s="11"/>
      <c r="IG30" s="11"/>
      <c r="IH30" s="11"/>
      <c r="II30" s="11"/>
      <c r="IJ30" s="11"/>
      <c r="IK30" s="11"/>
      <c r="IL30" s="14"/>
      <c r="IM30" s="14"/>
      <c r="IN30" s="14"/>
      <c r="IO30" s="14"/>
      <c r="IP30" s="14"/>
      <c r="IQ30" s="14">
        <v>85.019000000000005</v>
      </c>
      <c r="IR30" s="14">
        <v>85.022999999999996</v>
      </c>
      <c r="IS30" s="14">
        <v>85.025999999999996</v>
      </c>
      <c r="IT30" s="14">
        <v>85.021000000000001</v>
      </c>
      <c r="IU30" s="14">
        <v>85.022000000000006</v>
      </c>
      <c r="IV30" s="14"/>
      <c r="IW30" s="14"/>
      <c r="IX30" s="14"/>
      <c r="IY30" s="14"/>
      <c r="IZ30" s="14"/>
      <c r="JA30" s="14">
        <v>85.028000000000006</v>
      </c>
      <c r="JB30" s="14">
        <v>85.031999999999996</v>
      </c>
      <c r="JC30" s="14">
        <v>85.022000000000006</v>
      </c>
      <c r="JD30" s="14">
        <v>85.024000000000001</v>
      </c>
      <c r="JE30" s="14">
        <v>85.021000000000001</v>
      </c>
      <c r="JF30" s="14"/>
      <c r="JG30" s="14"/>
      <c r="JH30" s="14"/>
      <c r="JI30" s="14"/>
      <c r="JJ30" s="14"/>
      <c r="JK30" s="14">
        <v>85.021000000000001</v>
      </c>
      <c r="JL30" s="14">
        <v>85.025999999999996</v>
      </c>
      <c r="JM30" s="14">
        <v>85.031999999999996</v>
      </c>
      <c r="JN30" s="14">
        <v>85.028999999999996</v>
      </c>
      <c r="JO30" s="14">
        <v>85.028000000000006</v>
      </c>
      <c r="JP30" s="14"/>
      <c r="JQ30" s="14"/>
      <c r="JR30" s="14"/>
      <c r="JS30" s="14"/>
      <c r="JT30" s="14"/>
      <c r="JU30" s="14">
        <v>85.034000000000006</v>
      </c>
      <c r="JV30" s="14">
        <v>85.028999999999996</v>
      </c>
      <c r="JW30" s="14">
        <v>85.025999999999996</v>
      </c>
      <c r="JX30" s="14">
        <v>85.028000000000006</v>
      </c>
      <c r="JY30" s="14">
        <v>85.025000000000006</v>
      </c>
      <c r="JZ30" s="14"/>
      <c r="KA30" s="14"/>
      <c r="KB30" s="14"/>
      <c r="KC30" s="14"/>
      <c r="KD30" s="14"/>
      <c r="KE30" s="14">
        <v>85.027000000000001</v>
      </c>
      <c r="KF30" s="14">
        <v>85.025999999999996</v>
      </c>
      <c r="KG30" s="14">
        <v>85.031999999999996</v>
      </c>
      <c r="KH30" s="14">
        <v>85.033000000000001</v>
      </c>
      <c r="KI30" s="14">
        <v>85.028999999999996</v>
      </c>
      <c r="KJ30" s="14"/>
      <c r="KK30" s="14"/>
      <c r="KL30" s="14"/>
      <c r="KM30" s="14"/>
      <c r="KN30" s="14"/>
      <c r="KO30" s="14"/>
      <c r="KP30" s="14"/>
      <c r="KQ30" s="14"/>
      <c r="KR30" s="14"/>
      <c r="KS30" s="14"/>
      <c r="KT30" s="14"/>
      <c r="KU30" s="14"/>
      <c r="KV30" s="14"/>
      <c r="KW30" s="14"/>
      <c r="KX30" s="14"/>
      <c r="KY30" s="14"/>
      <c r="KZ30" s="14"/>
      <c r="LA30" s="14"/>
      <c r="LB30" s="14"/>
      <c r="LC30" s="14"/>
      <c r="LD30" s="14"/>
      <c r="LE30" s="14"/>
      <c r="LF30" s="14"/>
      <c r="LG30" s="14"/>
      <c r="LH30" s="14"/>
      <c r="LI30" s="14"/>
      <c r="LJ30" s="14"/>
      <c r="LK30" s="14"/>
      <c r="LL30" s="14"/>
      <c r="LM30" s="14"/>
      <c r="LN30" s="22">
        <f t="shared" si="1"/>
        <v>25</v>
      </c>
      <c r="LO30" s="6">
        <f t="shared" si="2"/>
        <v>52.008439999999993</v>
      </c>
      <c r="LP30" s="21">
        <f t="shared" si="3"/>
        <v>4.1641325627317059E-3</v>
      </c>
      <c r="LQ30" s="7">
        <f t="shared" si="4"/>
        <v>1.2007302660701433</v>
      </c>
      <c r="LR30" s="7">
        <f t="shared" si="5"/>
        <v>0.92536279171882319</v>
      </c>
      <c r="LS30" s="7">
        <f t="shared" si="6"/>
        <v>1.4760977404214637</v>
      </c>
      <c r="LT30" s="7">
        <f t="shared" si="7"/>
        <v>0.92536279171882319</v>
      </c>
      <c r="LU30" s="48"/>
      <c r="LV30" s="48"/>
      <c r="LW30" s="48"/>
      <c r="LX30" s="48"/>
    </row>
    <row r="31" spans="1:337">
      <c r="A31" s="21" t="s">
        <v>41</v>
      </c>
      <c r="B31" s="21" t="s">
        <v>42</v>
      </c>
      <c r="C31" s="21" t="s">
        <v>44</v>
      </c>
      <c r="D31" s="21" t="s">
        <v>35</v>
      </c>
      <c r="E31" s="5">
        <v>16.05</v>
      </c>
      <c r="F31" s="5">
        <v>16.024999999999999</v>
      </c>
      <c r="G31" s="5">
        <f t="shared" si="0"/>
        <v>16.037500000000001</v>
      </c>
      <c r="H31" s="7"/>
      <c r="I31" s="7"/>
      <c r="J31" s="7"/>
      <c r="K31" s="7"/>
      <c r="L31" s="5">
        <v>16.38</v>
      </c>
      <c r="M31" s="5">
        <v>16.042000000000002</v>
      </c>
      <c r="N31" s="5">
        <v>16.044</v>
      </c>
      <c r="O31" s="5">
        <v>16.041</v>
      </c>
      <c r="P31" s="5">
        <v>16.039000000000001</v>
      </c>
      <c r="Q31" s="5"/>
      <c r="R31" s="5"/>
      <c r="S31" s="5"/>
      <c r="T31" s="5"/>
      <c r="U31" s="5"/>
      <c r="V31" s="5">
        <v>16.04</v>
      </c>
      <c r="W31" s="5">
        <v>16.047999999999998</v>
      </c>
      <c r="X31" s="5">
        <v>16.044</v>
      </c>
      <c r="Y31" s="5">
        <v>16.042000000000002</v>
      </c>
      <c r="Z31" s="5">
        <v>16.041</v>
      </c>
      <c r="AA31" s="5"/>
      <c r="AB31" s="5"/>
      <c r="AC31" s="5"/>
      <c r="AD31" s="5"/>
      <c r="AE31" s="5"/>
      <c r="AF31" s="5">
        <v>16.047999999999998</v>
      </c>
      <c r="AG31" s="5">
        <v>16.048999999999999</v>
      </c>
      <c r="AH31" s="5">
        <v>16.050999999999998</v>
      </c>
      <c r="AI31" s="5">
        <v>16.047000000000001</v>
      </c>
      <c r="AJ31" s="5">
        <v>16.045000000000002</v>
      </c>
      <c r="AK31" s="5"/>
      <c r="AL31" s="5"/>
      <c r="AM31" s="5"/>
      <c r="AN31" s="5"/>
      <c r="AO31" s="5"/>
      <c r="AP31" s="5">
        <v>16.047000000000001</v>
      </c>
      <c r="AQ31" s="5">
        <v>16.044</v>
      </c>
      <c r="AR31" s="5">
        <v>16.047000000000001</v>
      </c>
      <c r="AS31" s="5">
        <v>16.036999999999999</v>
      </c>
      <c r="AT31" s="5">
        <v>16.039000000000001</v>
      </c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>
        <v>16.027000000000001</v>
      </c>
      <c r="BF31" s="5">
        <v>16.036999999999999</v>
      </c>
      <c r="BG31" s="5">
        <v>16.041</v>
      </c>
      <c r="BH31" s="5">
        <v>16.042999999999999</v>
      </c>
      <c r="BI31" s="5">
        <v>16.036000000000001</v>
      </c>
      <c r="BJ31" s="5"/>
      <c r="BK31" s="5"/>
      <c r="BL31" s="5"/>
      <c r="BM31" s="5"/>
      <c r="BN31" s="5"/>
      <c r="BO31" s="5">
        <v>16.044</v>
      </c>
      <c r="BP31" s="5">
        <v>16.042000000000002</v>
      </c>
      <c r="BQ31" s="5">
        <v>16.038</v>
      </c>
      <c r="BR31" s="5">
        <v>16.045000000000002</v>
      </c>
      <c r="BS31" s="5">
        <v>16.047000000000001</v>
      </c>
      <c r="BT31" s="5"/>
      <c r="BU31" s="5"/>
      <c r="BV31" s="5"/>
      <c r="BW31" s="5"/>
      <c r="BX31" s="5"/>
      <c r="BY31" s="5">
        <v>16.030999999999999</v>
      </c>
      <c r="BZ31" s="5">
        <v>16.035</v>
      </c>
      <c r="CA31" s="5">
        <v>16.039000000000001</v>
      </c>
      <c r="CB31" s="5">
        <v>16.041</v>
      </c>
      <c r="CC31" s="5">
        <v>16.036999999999999</v>
      </c>
      <c r="CD31" s="5"/>
      <c r="CE31" s="5"/>
      <c r="CF31" s="5"/>
      <c r="CG31" s="5"/>
      <c r="CH31" s="5"/>
      <c r="CI31" s="5">
        <v>16.041</v>
      </c>
      <c r="CJ31" s="5">
        <v>16.048999999999999</v>
      </c>
      <c r="CK31" s="5">
        <v>16.052</v>
      </c>
      <c r="CL31" s="5">
        <v>16.045000000000002</v>
      </c>
      <c r="CM31" s="5">
        <v>16.039000000000001</v>
      </c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>
        <v>16.047999999999998</v>
      </c>
      <c r="DI31" s="5">
        <v>16.044</v>
      </c>
      <c r="DJ31" s="5">
        <v>16.041</v>
      </c>
      <c r="DK31" s="5">
        <v>16.04</v>
      </c>
      <c r="DL31" s="5">
        <v>16.038</v>
      </c>
      <c r="DM31" s="5">
        <v>16.036000000000001</v>
      </c>
      <c r="DN31" s="5">
        <v>16.039000000000001</v>
      </c>
      <c r="DO31" s="5">
        <v>16.042999999999999</v>
      </c>
      <c r="DP31" s="5">
        <v>16.045000000000002</v>
      </c>
      <c r="DQ31" s="5">
        <v>16.042999999999999</v>
      </c>
      <c r="DR31" s="5">
        <v>16.039000000000001</v>
      </c>
      <c r="DS31" s="5">
        <v>16.042000000000002</v>
      </c>
      <c r="DT31" s="5">
        <v>16.04</v>
      </c>
      <c r="DU31" s="5">
        <v>16.044</v>
      </c>
      <c r="DV31" s="5">
        <v>16.041</v>
      </c>
      <c r="DW31" s="5">
        <v>16.045000000000002</v>
      </c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>
        <v>16.03</v>
      </c>
      <c r="HM31" s="5">
        <v>16.04</v>
      </c>
      <c r="HN31" s="5">
        <v>16.04</v>
      </c>
      <c r="HO31" s="5">
        <v>16.039000000000001</v>
      </c>
      <c r="HP31" s="5">
        <v>16.045999999999999</v>
      </c>
      <c r="HQ31" s="13">
        <v>16.041</v>
      </c>
      <c r="HR31" s="14">
        <v>16.038</v>
      </c>
      <c r="HS31" s="14">
        <v>16.039000000000001</v>
      </c>
      <c r="HT31" s="14">
        <v>16.036999999999999</v>
      </c>
      <c r="HU31" s="14"/>
      <c r="HV31" s="14"/>
      <c r="HW31" s="14"/>
      <c r="HX31" s="14"/>
      <c r="HY31" s="14"/>
      <c r="HZ31" s="14"/>
      <c r="IA31" s="14"/>
      <c r="IB31" s="11"/>
      <c r="IC31" s="11"/>
      <c r="ID31" s="11"/>
      <c r="IE31" s="11"/>
      <c r="IF31" s="11"/>
      <c r="IG31" s="11"/>
      <c r="IH31" s="11"/>
      <c r="II31" s="11"/>
      <c r="IJ31" s="11"/>
      <c r="IK31" s="11"/>
      <c r="IL31" s="14"/>
      <c r="IM31" s="14"/>
      <c r="IN31" s="14"/>
      <c r="IO31" s="14"/>
      <c r="IP31" s="14"/>
      <c r="IQ31" s="14"/>
      <c r="IR31" s="14"/>
      <c r="IS31" s="14"/>
      <c r="IT31" s="14"/>
      <c r="IU31" s="14"/>
      <c r="IV31" s="14"/>
      <c r="IW31" s="14"/>
      <c r="IX31" s="14"/>
      <c r="IY31" s="14"/>
      <c r="IZ31" s="14"/>
      <c r="JA31" s="14">
        <v>16.041</v>
      </c>
      <c r="JB31" s="14">
        <v>16.042000000000002</v>
      </c>
      <c r="JC31" s="14">
        <v>16.038</v>
      </c>
      <c r="JD31" s="14">
        <v>16.044</v>
      </c>
      <c r="JE31" s="14">
        <v>16.042000000000002</v>
      </c>
      <c r="JF31" s="14"/>
      <c r="JG31" s="14"/>
      <c r="JH31" s="14"/>
      <c r="JI31" s="14"/>
      <c r="JJ31" s="14"/>
      <c r="JK31" s="14">
        <v>16.042000000000002</v>
      </c>
      <c r="JL31" s="14">
        <v>16.036000000000001</v>
      </c>
      <c r="JM31" s="14">
        <v>16.041</v>
      </c>
      <c r="JN31" s="14">
        <v>16.044</v>
      </c>
      <c r="JO31" s="14">
        <v>16.047999999999998</v>
      </c>
      <c r="JP31" s="14"/>
      <c r="JQ31" s="14"/>
      <c r="JR31" s="14"/>
      <c r="JS31" s="14"/>
      <c r="JT31" s="14"/>
      <c r="JU31" s="14">
        <v>16.042000000000002</v>
      </c>
      <c r="JV31" s="14">
        <v>16.036999999999999</v>
      </c>
      <c r="JW31" s="14">
        <v>16.045000000000002</v>
      </c>
      <c r="JX31" s="14">
        <v>16.042000000000002</v>
      </c>
      <c r="JY31" s="14">
        <v>16.041</v>
      </c>
      <c r="JZ31" s="14"/>
      <c r="KA31" s="14"/>
      <c r="KB31" s="14"/>
      <c r="KC31" s="14"/>
      <c r="KD31" s="14"/>
      <c r="KE31" s="14">
        <v>16.042000000000002</v>
      </c>
      <c r="KF31" s="14">
        <v>16.044</v>
      </c>
      <c r="KG31" s="14">
        <v>16.039000000000001</v>
      </c>
      <c r="KH31" s="14">
        <v>16.041</v>
      </c>
      <c r="KI31" s="14">
        <v>16.038</v>
      </c>
      <c r="KJ31" s="14"/>
      <c r="KK31" s="14"/>
      <c r="KL31" s="14"/>
      <c r="KM31" s="14"/>
      <c r="KN31" s="14"/>
      <c r="KO31" s="14"/>
      <c r="KP31" s="14"/>
      <c r="KQ31" s="14"/>
      <c r="KR31" s="14"/>
      <c r="KS31" s="14"/>
      <c r="KT31" s="14"/>
      <c r="KU31" s="14"/>
      <c r="KV31" s="14"/>
      <c r="KW31" s="14"/>
      <c r="KX31" s="14"/>
      <c r="KY31" s="14"/>
      <c r="KZ31" s="14"/>
      <c r="LA31" s="14"/>
      <c r="LB31" s="14"/>
      <c r="LC31" s="14"/>
      <c r="LD31" s="14"/>
      <c r="LE31" s="14"/>
      <c r="LF31" s="14"/>
      <c r="LG31" s="14"/>
      <c r="LH31" s="14"/>
      <c r="LI31" s="14"/>
      <c r="LJ31" s="14"/>
      <c r="LK31" s="14"/>
      <c r="LL31" s="14"/>
      <c r="LM31" s="14"/>
      <c r="LN31" s="22">
        <f t="shared" si="1"/>
        <v>40</v>
      </c>
      <c r="LO31" s="6">
        <f t="shared" si="2"/>
        <v>14.015450000000001</v>
      </c>
      <c r="LP31" s="21">
        <f t="shared" si="3"/>
        <v>6.7328128765597175E-3</v>
      </c>
      <c r="LQ31" s="7">
        <f t="shared" si="4"/>
        <v>1.2377194325934187</v>
      </c>
      <c r="LR31" s="7">
        <f t="shared" si="5"/>
        <v>0.72035270976928911</v>
      </c>
      <c r="LS31" s="7">
        <f t="shared" si="6"/>
        <v>1.7550861554175481</v>
      </c>
      <c r="LT31" s="7">
        <f t="shared" si="7"/>
        <v>0.72035270976928911</v>
      </c>
    </row>
    <row r="32" spans="1:337">
      <c r="A32" s="21" t="s">
        <v>41</v>
      </c>
      <c r="B32" s="21" t="s">
        <v>42</v>
      </c>
      <c r="C32" s="21" t="s">
        <v>44</v>
      </c>
      <c r="D32" s="21" t="s">
        <v>36</v>
      </c>
      <c r="E32" s="5">
        <v>52.02</v>
      </c>
      <c r="F32" s="5">
        <v>51.99</v>
      </c>
      <c r="G32" s="5">
        <f t="shared" si="0"/>
        <v>52.005000000000003</v>
      </c>
      <c r="H32" s="7"/>
      <c r="I32" s="7"/>
      <c r="J32" s="7"/>
      <c r="K32" s="7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>
        <v>52.01</v>
      </c>
      <c r="AG32" s="5">
        <v>52.009</v>
      </c>
      <c r="AH32" s="5">
        <v>52.006</v>
      </c>
      <c r="AI32" s="5">
        <v>52.003999999999998</v>
      </c>
      <c r="AJ32" s="5">
        <v>52.005000000000003</v>
      </c>
      <c r="AK32" s="5"/>
      <c r="AL32" s="5"/>
      <c r="AM32" s="5"/>
      <c r="AN32" s="5"/>
      <c r="AO32" s="5"/>
      <c r="AP32" s="5">
        <v>52.006</v>
      </c>
      <c r="AQ32" s="5">
        <v>52.01</v>
      </c>
      <c r="AR32" s="5">
        <v>52.015999999999998</v>
      </c>
      <c r="AS32" s="5">
        <v>52.005000000000003</v>
      </c>
      <c r="AT32" s="5">
        <v>52.017000000000003</v>
      </c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>
        <v>52.011000000000003</v>
      </c>
      <c r="BF32" s="5">
        <v>52.009</v>
      </c>
      <c r="BG32" s="5">
        <v>52.011000000000003</v>
      </c>
      <c r="BH32" s="5">
        <v>52.006</v>
      </c>
      <c r="BI32" s="5">
        <v>52.015000000000001</v>
      </c>
      <c r="BJ32" s="5"/>
      <c r="BK32" s="5"/>
      <c r="BL32" s="5"/>
      <c r="BM32" s="5"/>
      <c r="BN32" s="5"/>
      <c r="BO32" s="5">
        <v>52.01</v>
      </c>
      <c r="BP32" s="5">
        <v>52.008000000000003</v>
      </c>
      <c r="BQ32" s="5">
        <v>52.012</v>
      </c>
      <c r="BR32" s="5">
        <v>52.014000000000003</v>
      </c>
      <c r="BS32" s="5">
        <v>52.003999999999998</v>
      </c>
      <c r="BT32" s="5"/>
      <c r="BU32" s="5"/>
      <c r="BV32" s="5"/>
      <c r="BW32" s="5"/>
      <c r="BX32" s="5"/>
      <c r="BY32" s="5">
        <v>52.006</v>
      </c>
      <c r="BZ32" s="5">
        <v>52.008000000000003</v>
      </c>
      <c r="CA32" s="5">
        <v>52.003</v>
      </c>
      <c r="CB32" s="5">
        <v>52.003999999999998</v>
      </c>
      <c r="CC32" s="5">
        <v>52.002000000000002</v>
      </c>
      <c r="CD32" s="5"/>
      <c r="CE32" s="5"/>
      <c r="CF32" s="5"/>
      <c r="CG32" s="5"/>
      <c r="CH32" s="5"/>
      <c r="CI32" s="5">
        <v>52.01</v>
      </c>
      <c r="CJ32" s="5">
        <v>52.012</v>
      </c>
      <c r="CK32" s="5">
        <v>52.014000000000003</v>
      </c>
      <c r="CL32" s="5">
        <v>52.011000000000003</v>
      </c>
      <c r="CM32" s="5">
        <v>52.009</v>
      </c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>
        <v>52.008000000000003</v>
      </c>
      <c r="DI32" s="5">
        <v>52.009</v>
      </c>
      <c r="DJ32" s="5">
        <v>52.003999999999998</v>
      </c>
      <c r="DK32" s="5">
        <v>52.009</v>
      </c>
      <c r="DL32" s="5">
        <v>52.006</v>
      </c>
      <c r="DM32" s="5">
        <v>52.006999999999998</v>
      </c>
      <c r="DN32" s="5">
        <v>52.008000000000003</v>
      </c>
      <c r="DO32" s="5">
        <v>52.008000000000003</v>
      </c>
      <c r="DP32" s="5">
        <v>52.006999999999998</v>
      </c>
      <c r="DQ32" s="5">
        <v>52.008000000000003</v>
      </c>
      <c r="DR32" s="5">
        <v>52.008000000000003</v>
      </c>
      <c r="DS32" s="5">
        <v>52.006</v>
      </c>
      <c r="DT32" s="5">
        <v>52.008000000000003</v>
      </c>
      <c r="DU32" s="5">
        <v>52.003999999999998</v>
      </c>
      <c r="DV32" s="5">
        <v>52.01</v>
      </c>
      <c r="DW32" s="5">
        <v>52.008000000000003</v>
      </c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>
        <v>52.008000000000003</v>
      </c>
      <c r="HM32" s="5">
        <v>52.005000000000003</v>
      </c>
      <c r="HN32" s="5">
        <v>52.005000000000003</v>
      </c>
      <c r="HO32" s="5">
        <v>52.006</v>
      </c>
      <c r="HP32" s="5">
        <v>52.015000000000001</v>
      </c>
      <c r="HQ32" s="13">
        <v>52.011000000000003</v>
      </c>
      <c r="HR32" s="14">
        <v>52.01</v>
      </c>
      <c r="HS32" s="14">
        <v>52.012</v>
      </c>
      <c r="HT32" s="14">
        <v>52.014000000000003</v>
      </c>
      <c r="HU32" s="14"/>
      <c r="HV32" s="14"/>
      <c r="HW32" s="14"/>
      <c r="HX32" s="14"/>
      <c r="HY32" s="14"/>
      <c r="HZ32" s="14"/>
      <c r="IA32" s="14"/>
      <c r="IB32" s="11"/>
      <c r="IC32" s="11"/>
      <c r="ID32" s="11"/>
      <c r="IE32" s="11"/>
      <c r="IF32" s="11"/>
      <c r="IG32" s="11"/>
      <c r="IH32" s="11"/>
      <c r="II32" s="11"/>
      <c r="IJ32" s="11"/>
      <c r="IK32" s="11"/>
      <c r="IL32" s="14"/>
      <c r="IM32" s="14"/>
      <c r="IN32" s="14"/>
      <c r="IO32" s="14"/>
      <c r="IP32" s="14"/>
      <c r="IQ32" s="14">
        <v>52.008000000000003</v>
      </c>
      <c r="IR32" s="14">
        <v>52.009</v>
      </c>
      <c r="IS32" s="14">
        <v>52.006999999999998</v>
      </c>
      <c r="IT32" s="14">
        <v>52.01</v>
      </c>
      <c r="IU32" s="14">
        <v>52.006999999999998</v>
      </c>
      <c r="IV32" s="14"/>
      <c r="IW32" s="14"/>
      <c r="IX32" s="14"/>
      <c r="IY32" s="14"/>
      <c r="IZ32" s="14"/>
      <c r="JA32" s="14">
        <v>52.008000000000003</v>
      </c>
      <c r="JB32" s="14">
        <v>52.009</v>
      </c>
      <c r="JC32" s="14">
        <v>52.01</v>
      </c>
      <c r="JD32" s="14">
        <v>52.011000000000003</v>
      </c>
      <c r="JE32" s="14">
        <v>52.014000000000003</v>
      </c>
      <c r="JF32" s="14"/>
      <c r="JG32" s="14"/>
      <c r="JH32" s="14"/>
      <c r="JI32" s="14"/>
      <c r="JJ32" s="14"/>
      <c r="JK32" s="14">
        <v>52.006</v>
      </c>
      <c r="JL32" s="14">
        <v>52.003999999999998</v>
      </c>
      <c r="JM32" s="14">
        <v>52.003</v>
      </c>
      <c r="JN32" s="14">
        <v>52.008000000000003</v>
      </c>
      <c r="JO32" s="14">
        <v>52.012</v>
      </c>
      <c r="JP32" s="14"/>
      <c r="JQ32" s="14"/>
      <c r="JR32" s="14"/>
      <c r="JS32" s="14"/>
      <c r="JT32" s="14"/>
      <c r="JU32" s="14">
        <v>52.006</v>
      </c>
      <c r="JV32" s="14">
        <v>52.008000000000003</v>
      </c>
      <c r="JW32" s="14">
        <v>52.009</v>
      </c>
      <c r="JX32" s="14">
        <v>52.012999999999998</v>
      </c>
      <c r="JY32" s="14">
        <v>52.01</v>
      </c>
      <c r="JZ32" s="14"/>
      <c r="KA32" s="14"/>
      <c r="KB32" s="14"/>
      <c r="KC32" s="14"/>
      <c r="KD32" s="14"/>
      <c r="KE32" s="14">
        <v>52.01</v>
      </c>
      <c r="KF32" s="14">
        <v>52.012</v>
      </c>
      <c r="KG32" s="14">
        <v>52.008000000000003</v>
      </c>
      <c r="KH32" s="14">
        <v>52.006999999999998</v>
      </c>
      <c r="KI32" s="14">
        <v>52.009</v>
      </c>
      <c r="KJ32" s="14"/>
      <c r="KK32" s="14"/>
      <c r="KL32" s="14"/>
      <c r="KM32" s="14"/>
      <c r="KN32" s="14"/>
      <c r="KO32" s="14"/>
      <c r="KP32" s="14"/>
      <c r="KQ32" s="14"/>
      <c r="KR32" s="14"/>
      <c r="KS32" s="14"/>
      <c r="KT32" s="14"/>
      <c r="KU32" s="14"/>
      <c r="KV32" s="14"/>
      <c r="KW32" s="14"/>
      <c r="KX32" s="14"/>
      <c r="KY32" s="14"/>
      <c r="KZ32" s="14"/>
      <c r="LA32" s="14"/>
      <c r="LB32" s="14"/>
      <c r="LC32" s="14"/>
      <c r="LD32" s="14"/>
      <c r="LE32" s="14"/>
      <c r="LF32" s="14"/>
      <c r="LG32" s="14"/>
      <c r="LH32" s="14"/>
      <c r="LI32" s="14"/>
      <c r="LJ32" s="14"/>
      <c r="LK32" s="14"/>
      <c r="LL32" s="14"/>
      <c r="LM32" s="14"/>
      <c r="LN32" s="22">
        <f t="shared" si="1"/>
        <v>40</v>
      </c>
      <c r="LO32" s="6">
        <f t="shared" si="2"/>
        <v>115.96414999999995</v>
      </c>
      <c r="LP32" s="21">
        <f t="shared" si="3"/>
        <v>1.4907492523335565E-2</v>
      </c>
      <c r="LQ32" s="7">
        <f t="shared" si="4"/>
        <v>1.1180060389482951</v>
      </c>
      <c r="LR32" s="7">
        <f t="shared" si="5"/>
        <v>0.8016103299271633</v>
      </c>
      <c r="LS32" s="7">
        <f t="shared" si="6"/>
        <v>1.4344017479694267</v>
      </c>
      <c r="LT32" s="7">
        <f t="shared" si="7"/>
        <v>0.8016103299271633</v>
      </c>
    </row>
    <row r="33" spans="1:332">
      <c r="A33" s="21" t="s">
        <v>41</v>
      </c>
      <c r="B33" s="21" t="s">
        <v>42</v>
      </c>
      <c r="C33" s="21" t="s">
        <v>44</v>
      </c>
      <c r="D33" s="21" t="s">
        <v>38</v>
      </c>
      <c r="E33" s="5">
        <v>14.03</v>
      </c>
      <c r="F33" s="5">
        <v>13.98</v>
      </c>
      <c r="G33" s="5">
        <f t="shared" si="0"/>
        <v>14.004999999999999</v>
      </c>
      <c r="H33" s="7"/>
      <c r="I33" s="7"/>
      <c r="J33" s="7"/>
      <c r="K33" s="7"/>
      <c r="L33" s="5">
        <v>14.01</v>
      </c>
      <c r="M33" s="5">
        <v>14.016</v>
      </c>
      <c r="N33" s="5">
        <v>14.016999999999999</v>
      </c>
      <c r="O33" s="5">
        <v>14.013999999999999</v>
      </c>
      <c r="P33" s="5">
        <v>14.013</v>
      </c>
      <c r="Q33" s="5">
        <v>14.02</v>
      </c>
      <c r="R33" s="5">
        <v>14.022</v>
      </c>
      <c r="S33" s="5">
        <v>14.022</v>
      </c>
      <c r="T33" s="5">
        <v>14.023999999999999</v>
      </c>
      <c r="U33" s="5">
        <v>14.022</v>
      </c>
      <c r="V33" s="5">
        <v>14.015000000000001</v>
      </c>
      <c r="W33" s="5">
        <v>14.018000000000001</v>
      </c>
      <c r="X33" s="5">
        <v>14.02</v>
      </c>
      <c r="Y33" s="5">
        <v>14.021000000000001</v>
      </c>
      <c r="Z33" s="5">
        <v>14.015000000000001</v>
      </c>
      <c r="AA33" s="5"/>
      <c r="AB33" s="5"/>
      <c r="AC33" s="5"/>
      <c r="AD33" s="5"/>
      <c r="AE33" s="5"/>
      <c r="AF33" s="5">
        <v>14.013999999999999</v>
      </c>
      <c r="AG33" s="5">
        <v>14.016</v>
      </c>
      <c r="AH33" s="5">
        <v>14.012</v>
      </c>
      <c r="AI33" s="5">
        <v>14.016999999999999</v>
      </c>
      <c r="AJ33" s="5">
        <v>14.019</v>
      </c>
      <c r="AK33" s="5"/>
      <c r="AL33" s="5"/>
      <c r="AM33" s="5"/>
      <c r="AN33" s="5"/>
      <c r="AO33" s="5"/>
      <c r="AP33" s="5">
        <v>14.019</v>
      </c>
      <c r="AQ33" s="5">
        <v>14.013999999999999</v>
      </c>
      <c r="AR33" s="5">
        <v>14.016999999999999</v>
      </c>
      <c r="AS33" s="5">
        <v>14.009</v>
      </c>
      <c r="AT33" s="5">
        <v>14.019</v>
      </c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>
        <v>14.010999999999999</v>
      </c>
      <c r="BF33" s="5">
        <v>13.986000000000001</v>
      </c>
      <c r="BG33" s="5">
        <v>14.02</v>
      </c>
      <c r="BH33" s="5">
        <v>14.006</v>
      </c>
      <c r="BI33" s="5">
        <v>14.002000000000001</v>
      </c>
      <c r="BJ33" s="5"/>
      <c r="BK33" s="5"/>
      <c r="BL33" s="5"/>
      <c r="BM33" s="5"/>
      <c r="BN33" s="5"/>
      <c r="BO33" s="5">
        <v>14.013999999999999</v>
      </c>
      <c r="BP33" s="5">
        <v>14.012</v>
      </c>
      <c r="BQ33" s="5">
        <v>14.01</v>
      </c>
      <c r="BR33" s="5">
        <v>14.015000000000001</v>
      </c>
      <c r="BS33" s="5">
        <v>14.018000000000001</v>
      </c>
      <c r="BT33" s="5"/>
      <c r="BU33" s="5"/>
      <c r="BV33" s="5"/>
      <c r="BW33" s="5"/>
      <c r="BX33" s="5"/>
      <c r="BY33" s="5">
        <v>14.021000000000001</v>
      </c>
      <c r="BZ33" s="5">
        <v>14.019</v>
      </c>
      <c r="CA33" s="5">
        <v>14.016</v>
      </c>
      <c r="CB33" s="5">
        <v>14.022</v>
      </c>
      <c r="CC33" s="5">
        <v>14.021000000000001</v>
      </c>
      <c r="CD33" s="5"/>
      <c r="CE33" s="5"/>
      <c r="CF33" s="5"/>
      <c r="CG33" s="5"/>
      <c r="CH33" s="5"/>
      <c r="CI33" s="5">
        <v>14.012</v>
      </c>
      <c r="CJ33" s="5">
        <v>14.015000000000001</v>
      </c>
      <c r="CK33" s="5">
        <v>14.016</v>
      </c>
      <c r="CL33" s="5">
        <v>14.018000000000001</v>
      </c>
      <c r="CM33" s="5">
        <v>14.028</v>
      </c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>
        <v>14.010999999999999</v>
      </c>
      <c r="DI33" s="5">
        <v>14.013999999999999</v>
      </c>
      <c r="DJ33" s="5">
        <v>14.015000000000001</v>
      </c>
      <c r="DK33" s="5">
        <v>14.019</v>
      </c>
      <c r="DL33" s="5">
        <v>14.02</v>
      </c>
      <c r="DM33" s="5">
        <v>14.013</v>
      </c>
      <c r="DN33" s="5">
        <v>14.013</v>
      </c>
      <c r="DO33" s="5">
        <v>14.010999999999999</v>
      </c>
      <c r="DP33" s="5">
        <v>14.013999999999999</v>
      </c>
      <c r="DQ33" s="5">
        <v>14.010999999999999</v>
      </c>
      <c r="DR33" s="5">
        <v>14.021000000000001</v>
      </c>
      <c r="DS33" s="5">
        <v>14.016</v>
      </c>
      <c r="DT33" s="5">
        <v>14.021000000000001</v>
      </c>
      <c r="DU33" s="5">
        <v>14.02</v>
      </c>
      <c r="DV33" s="5">
        <v>14.018000000000001</v>
      </c>
      <c r="DW33" s="5">
        <v>14.012</v>
      </c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>
        <v>14.010999999999999</v>
      </c>
      <c r="HM33" s="5">
        <v>14.006</v>
      </c>
      <c r="HN33" s="5">
        <v>14.007</v>
      </c>
      <c r="HO33" s="5">
        <v>14.01</v>
      </c>
      <c r="HP33" s="5">
        <v>14.012</v>
      </c>
      <c r="HQ33" s="13">
        <v>14.009</v>
      </c>
      <c r="HR33" s="14">
        <v>14.01</v>
      </c>
      <c r="HS33" s="14">
        <v>14.015000000000001</v>
      </c>
      <c r="HT33" s="14">
        <v>14.016</v>
      </c>
      <c r="HU33" s="14"/>
      <c r="HV33" s="14"/>
      <c r="HW33" s="14"/>
      <c r="HX33" s="14"/>
      <c r="HY33" s="14"/>
      <c r="HZ33" s="14"/>
      <c r="IA33" s="14"/>
      <c r="IB33" s="11"/>
      <c r="IC33" s="11"/>
      <c r="ID33" s="11"/>
      <c r="IE33" s="11"/>
      <c r="IF33" s="11"/>
      <c r="IG33" s="11"/>
      <c r="IH33" s="11"/>
      <c r="II33" s="11"/>
      <c r="IJ33" s="11"/>
      <c r="IK33" s="11"/>
      <c r="IL33" s="14"/>
      <c r="IM33" s="14"/>
      <c r="IN33" s="14"/>
      <c r="IO33" s="14"/>
      <c r="IP33" s="14"/>
      <c r="IQ33" s="14"/>
      <c r="IR33" s="14"/>
      <c r="IS33" s="14"/>
      <c r="IT33" s="14"/>
      <c r="IU33" s="14"/>
      <c r="IV33" s="14"/>
      <c r="IW33" s="14"/>
      <c r="IX33" s="14"/>
      <c r="IY33" s="14"/>
      <c r="IZ33" s="14"/>
      <c r="JA33" s="14">
        <v>14.022</v>
      </c>
      <c r="JB33" s="14">
        <v>14.021000000000001</v>
      </c>
      <c r="JC33" s="14">
        <v>14.018000000000001</v>
      </c>
      <c r="JD33" s="14">
        <v>14.016</v>
      </c>
      <c r="JE33" s="14">
        <v>14.015000000000001</v>
      </c>
      <c r="JF33" s="14"/>
      <c r="JG33" s="14"/>
      <c r="JH33" s="14"/>
      <c r="JI33" s="14"/>
      <c r="JJ33" s="14"/>
      <c r="JK33" s="14">
        <v>14.012</v>
      </c>
      <c r="JL33" s="14">
        <v>14.015000000000001</v>
      </c>
      <c r="JM33" s="14">
        <v>14.016</v>
      </c>
      <c r="JN33" s="14">
        <v>14.018000000000001</v>
      </c>
      <c r="JO33" s="14">
        <v>14.021000000000001</v>
      </c>
      <c r="JP33" s="14"/>
      <c r="JQ33" s="14"/>
      <c r="JR33" s="14"/>
      <c r="JS33" s="14"/>
      <c r="JT33" s="14"/>
      <c r="JU33" s="14">
        <v>14.010999999999999</v>
      </c>
      <c r="JV33" s="14">
        <v>14.01</v>
      </c>
      <c r="JW33" s="14">
        <v>14.007999999999999</v>
      </c>
      <c r="JX33" s="14">
        <v>14.013</v>
      </c>
      <c r="JY33" s="14">
        <v>14.016</v>
      </c>
      <c r="JZ33" s="14"/>
      <c r="KA33" s="14"/>
      <c r="KB33" s="14"/>
      <c r="KC33" s="14"/>
      <c r="KD33" s="14"/>
      <c r="KE33" s="14">
        <v>14.012</v>
      </c>
      <c r="KF33" s="14">
        <v>14.018000000000001</v>
      </c>
      <c r="KG33" s="14">
        <v>14.022</v>
      </c>
      <c r="KH33" s="14">
        <v>14.02</v>
      </c>
      <c r="KI33" s="14">
        <v>14.019</v>
      </c>
      <c r="KJ33" s="14"/>
      <c r="KK33" s="14"/>
      <c r="KL33" s="14"/>
      <c r="KM33" s="14"/>
      <c r="KN33" s="14"/>
      <c r="KO33" s="14"/>
      <c r="KP33" s="14"/>
      <c r="KQ33" s="14"/>
      <c r="KR33" s="14"/>
      <c r="KS33" s="14"/>
      <c r="KT33" s="14"/>
      <c r="KU33" s="14"/>
      <c r="KV33" s="14"/>
      <c r="KW33" s="14"/>
      <c r="KX33" s="14"/>
      <c r="KY33" s="14"/>
      <c r="KZ33" s="14"/>
      <c r="LA33" s="14"/>
      <c r="LB33" s="14"/>
      <c r="LC33" s="14"/>
      <c r="LD33" s="14"/>
      <c r="LE33" s="14"/>
      <c r="LF33" s="14"/>
      <c r="LG33" s="14"/>
      <c r="LH33" s="14"/>
      <c r="LI33" s="14"/>
      <c r="LJ33" s="14"/>
      <c r="LK33" s="14"/>
      <c r="LL33" s="14"/>
      <c r="LM33" s="14"/>
      <c r="LN33" s="22">
        <f t="shared" si="1"/>
        <v>40</v>
      </c>
      <c r="LO33" s="6">
        <f t="shared" si="2"/>
        <v>61.948349999999991</v>
      </c>
      <c r="LP33" s="21">
        <f t="shared" si="3"/>
        <v>4.9848488391040623E-3</v>
      </c>
      <c r="LQ33" s="7">
        <f t="shared" si="4"/>
        <v>1.0030394423953788</v>
      </c>
      <c r="LR33" s="7">
        <f t="shared" si="5"/>
        <v>0.64528870794151794</v>
      </c>
      <c r="LS33" s="7">
        <f t="shared" si="6"/>
        <v>1.3607901768492394</v>
      </c>
      <c r="LT33" s="7">
        <f t="shared" si="7"/>
        <v>0.64528870794151794</v>
      </c>
    </row>
    <row r="34" spans="1:332">
      <c r="A34" s="21" t="s">
        <v>41</v>
      </c>
      <c r="B34" s="21" t="s">
        <v>42</v>
      </c>
      <c r="C34" s="21" t="s">
        <v>44</v>
      </c>
      <c r="D34" s="21" t="s">
        <v>39</v>
      </c>
      <c r="E34" s="5">
        <v>116</v>
      </c>
      <c r="F34" s="5">
        <v>115.9</v>
      </c>
      <c r="G34" s="5">
        <f t="shared" si="0"/>
        <v>115.95</v>
      </c>
      <c r="H34" s="7"/>
      <c r="I34" s="7"/>
      <c r="J34" s="7"/>
      <c r="K34" s="7"/>
      <c r="L34" s="5">
        <v>115.96</v>
      </c>
      <c r="M34" s="5">
        <v>115.96</v>
      </c>
      <c r="N34" s="5">
        <v>115.95</v>
      </c>
      <c r="O34" s="5">
        <v>115.97</v>
      </c>
      <c r="P34" s="5">
        <v>115.98</v>
      </c>
      <c r="Q34" s="5">
        <v>115.95</v>
      </c>
      <c r="R34" s="5">
        <v>115.98</v>
      </c>
      <c r="S34" s="5">
        <v>115.95</v>
      </c>
      <c r="T34" s="5">
        <v>115.95</v>
      </c>
      <c r="U34" s="5">
        <v>115.98</v>
      </c>
      <c r="V34" s="5">
        <v>115.99</v>
      </c>
      <c r="W34" s="5">
        <v>115.97</v>
      </c>
      <c r="X34" s="5">
        <v>115.96</v>
      </c>
      <c r="Y34" s="5">
        <v>115.95</v>
      </c>
      <c r="Z34" s="5">
        <v>115.96</v>
      </c>
      <c r="AA34" s="5"/>
      <c r="AB34" s="5"/>
      <c r="AC34" s="5"/>
      <c r="AD34" s="5"/>
      <c r="AE34" s="5"/>
      <c r="AF34" s="5">
        <v>115.93</v>
      </c>
      <c r="AG34" s="5">
        <v>115.95</v>
      </c>
      <c r="AH34" s="5">
        <v>115.97</v>
      </c>
      <c r="AI34" s="5">
        <v>115.99</v>
      </c>
      <c r="AJ34" s="5">
        <v>115.97</v>
      </c>
      <c r="AK34" s="5"/>
      <c r="AL34" s="5"/>
      <c r="AM34" s="5"/>
      <c r="AN34" s="5"/>
      <c r="AO34" s="5"/>
      <c r="AP34" s="5">
        <v>115.97</v>
      </c>
      <c r="AQ34" s="5">
        <v>115.95</v>
      </c>
      <c r="AR34" s="5">
        <v>115.98</v>
      </c>
      <c r="AS34" s="5">
        <v>115.97</v>
      </c>
      <c r="AT34" s="5">
        <v>115.96</v>
      </c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>
        <v>115.96</v>
      </c>
      <c r="BF34" s="5">
        <v>115.94</v>
      </c>
      <c r="BG34" s="5">
        <v>115.96</v>
      </c>
      <c r="BH34" s="5">
        <v>115.96</v>
      </c>
      <c r="BI34" s="5">
        <v>115.97</v>
      </c>
      <c r="BJ34" s="5"/>
      <c r="BK34" s="5"/>
      <c r="BL34" s="5"/>
      <c r="BM34" s="5"/>
      <c r="BN34" s="5"/>
      <c r="BO34" s="5">
        <v>115.97</v>
      </c>
      <c r="BP34" s="5">
        <v>115.96</v>
      </c>
      <c r="BQ34" s="5">
        <v>115.97</v>
      </c>
      <c r="BR34" s="5">
        <v>115.976</v>
      </c>
      <c r="BS34" s="5">
        <v>115.99</v>
      </c>
      <c r="BT34" s="5"/>
      <c r="BU34" s="5"/>
      <c r="BV34" s="5"/>
      <c r="BW34" s="5"/>
      <c r="BX34" s="5"/>
      <c r="BY34" s="5">
        <v>115.95</v>
      </c>
      <c r="BZ34" s="5">
        <v>115.98</v>
      </c>
      <c r="CA34" s="5">
        <v>115.95</v>
      </c>
      <c r="CB34" s="5">
        <v>115.94</v>
      </c>
      <c r="CC34" s="5">
        <v>115.99</v>
      </c>
      <c r="CD34" s="5"/>
      <c r="CE34" s="5"/>
      <c r="CF34" s="5"/>
      <c r="CG34" s="5"/>
      <c r="CH34" s="5"/>
      <c r="CI34" s="5">
        <v>115.94</v>
      </c>
      <c r="CJ34" s="5">
        <v>115.95</v>
      </c>
      <c r="CK34" s="5">
        <v>115.97</v>
      </c>
      <c r="CL34" s="5">
        <v>115.98</v>
      </c>
      <c r="CM34" s="5">
        <v>115.99</v>
      </c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>
        <v>115.92</v>
      </c>
      <c r="DI34" s="5">
        <v>115.96</v>
      </c>
      <c r="DJ34" s="5">
        <v>115.98</v>
      </c>
      <c r="DK34" s="5">
        <v>115.99</v>
      </c>
      <c r="DL34" s="5">
        <v>115.97</v>
      </c>
      <c r="DM34" s="5">
        <v>115.96</v>
      </c>
      <c r="DN34" s="5">
        <v>115.99</v>
      </c>
      <c r="DO34" s="5">
        <v>115.99</v>
      </c>
      <c r="DP34" s="5">
        <v>115.97</v>
      </c>
      <c r="DQ34" s="5">
        <v>115.97</v>
      </c>
      <c r="DR34" s="5">
        <v>116</v>
      </c>
      <c r="DS34" s="5">
        <v>115.96</v>
      </c>
      <c r="DT34" s="5">
        <v>115.95</v>
      </c>
      <c r="DU34" s="5">
        <v>115.93</v>
      </c>
      <c r="DV34" s="5">
        <v>115.94</v>
      </c>
      <c r="DW34" s="5">
        <v>115.96</v>
      </c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>
        <v>115.96</v>
      </c>
      <c r="HM34" s="5">
        <v>115.92</v>
      </c>
      <c r="HN34" s="5">
        <v>115.95</v>
      </c>
      <c r="HO34" s="5">
        <v>115.95</v>
      </c>
      <c r="HP34" s="5">
        <v>115.92</v>
      </c>
      <c r="HQ34" s="13">
        <v>115.94</v>
      </c>
      <c r="HR34" s="14">
        <v>115.95</v>
      </c>
      <c r="HS34" s="14">
        <v>115.94</v>
      </c>
      <c r="HT34" s="14">
        <v>115.93</v>
      </c>
      <c r="HU34" s="14"/>
      <c r="HV34" s="14"/>
      <c r="HW34" s="14"/>
      <c r="HX34" s="14"/>
      <c r="HY34" s="14"/>
      <c r="HZ34" s="14"/>
      <c r="IA34" s="14"/>
      <c r="IB34" s="11"/>
      <c r="IC34" s="11"/>
      <c r="ID34" s="11"/>
      <c r="IE34" s="11"/>
      <c r="IF34" s="11"/>
      <c r="IG34" s="11"/>
      <c r="IH34" s="11"/>
      <c r="II34" s="11"/>
      <c r="IJ34" s="11"/>
      <c r="IK34" s="11"/>
      <c r="IL34" s="14"/>
      <c r="IM34" s="14"/>
      <c r="IN34" s="14"/>
      <c r="IO34" s="14"/>
      <c r="IP34" s="14"/>
      <c r="IQ34" s="14"/>
      <c r="IR34" s="14"/>
      <c r="IS34" s="14"/>
      <c r="IT34" s="14"/>
      <c r="IU34" s="14"/>
      <c r="IV34" s="14"/>
      <c r="IW34" s="14"/>
      <c r="IX34" s="14"/>
      <c r="IY34" s="14"/>
      <c r="IZ34" s="14"/>
      <c r="JA34" s="14">
        <v>115.9</v>
      </c>
      <c r="JB34" s="14">
        <v>115.97</v>
      </c>
      <c r="JC34" s="14">
        <v>116.01</v>
      </c>
      <c r="JD34" s="14">
        <v>115.95</v>
      </c>
      <c r="JE34" s="14">
        <v>115.95</v>
      </c>
      <c r="JF34" s="14"/>
      <c r="JG34" s="14"/>
      <c r="JH34" s="14"/>
      <c r="JI34" s="14"/>
      <c r="JJ34" s="14"/>
      <c r="JK34" s="14">
        <v>116</v>
      </c>
      <c r="JL34" s="14">
        <v>115.93</v>
      </c>
      <c r="JM34" s="14">
        <v>115.93</v>
      </c>
      <c r="JN34" s="14">
        <v>115.94</v>
      </c>
      <c r="JO34" s="14">
        <v>115.92</v>
      </c>
      <c r="JP34" s="14"/>
      <c r="JQ34" s="14"/>
      <c r="JR34" s="14"/>
      <c r="JS34" s="14"/>
      <c r="JT34" s="14"/>
      <c r="JU34" s="14">
        <v>115.98</v>
      </c>
      <c r="JV34" s="14">
        <v>115.94</v>
      </c>
      <c r="JW34" s="14">
        <v>115.95</v>
      </c>
      <c r="JX34" s="14">
        <v>115.92</v>
      </c>
      <c r="JY34" s="14">
        <v>115.95</v>
      </c>
      <c r="JZ34" s="14"/>
      <c r="KA34" s="14"/>
      <c r="KB34" s="14"/>
      <c r="KC34" s="14"/>
      <c r="KD34" s="14"/>
      <c r="KE34" s="14">
        <v>115.99</v>
      </c>
      <c r="KF34" s="14">
        <v>115.92</v>
      </c>
      <c r="KG34" s="14">
        <v>115.92</v>
      </c>
      <c r="KH34" s="14">
        <v>115.98</v>
      </c>
      <c r="KI34" s="14">
        <v>115.97</v>
      </c>
      <c r="KJ34" s="14"/>
      <c r="KK34" s="14"/>
      <c r="KL34" s="14"/>
      <c r="KM34" s="14"/>
      <c r="KN34" s="14"/>
      <c r="KO34" s="14"/>
      <c r="KP34" s="14"/>
      <c r="KQ34" s="14"/>
      <c r="KR34" s="14"/>
      <c r="KS34" s="14"/>
      <c r="KT34" s="14"/>
      <c r="KU34" s="14"/>
      <c r="KV34" s="14"/>
      <c r="KW34" s="14"/>
      <c r="KX34" s="14"/>
      <c r="KY34" s="14"/>
      <c r="KZ34" s="14"/>
      <c r="LA34" s="14"/>
      <c r="LB34" s="14"/>
      <c r="LC34" s="14"/>
      <c r="LD34" s="14"/>
      <c r="LE34" s="14"/>
      <c r="LF34" s="14"/>
      <c r="LG34" s="14"/>
      <c r="LH34" s="14"/>
      <c r="LI34" s="14"/>
      <c r="LJ34" s="14"/>
      <c r="LK34" s="14"/>
      <c r="LL34" s="14"/>
      <c r="LM34" s="14"/>
      <c r="LN34" s="22">
        <f t="shared" si="1"/>
        <v>25</v>
      </c>
      <c r="LO34" s="6">
        <f t="shared" si="2"/>
        <v>85.023880000000005</v>
      </c>
      <c r="LP34" s="21">
        <f t="shared" si="3"/>
        <v>5.9952759180317066E-3</v>
      </c>
      <c r="LQ34" s="7">
        <f t="shared" si="4"/>
        <v>0.83398997283209719</v>
      </c>
      <c r="LR34" s="7">
        <f t="shared" si="5"/>
        <v>0.89626122413690434</v>
      </c>
      <c r="LS34" s="7" t="s">
        <v>46</v>
      </c>
      <c r="LT34" s="7">
        <f t="shared" si="7"/>
        <v>0.89626122413690434</v>
      </c>
    </row>
    <row r="35" spans="1:332">
      <c r="A35" s="21" t="s">
        <v>41</v>
      </c>
      <c r="B35" s="21" t="s">
        <v>42</v>
      </c>
      <c r="C35" s="21" t="s">
        <v>45</v>
      </c>
      <c r="D35" s="21" t="s">
        <v>33</v>
      </c>
      <c r="E35" s="5">
        <v>61.957999999999998</v>
      </c>
      <c r="F35" s="5">
        <v>61.927999999999997</v>
      </c>
      <c r="G35" s="5">
        <f t="shared" si="0"/>
        <v>61.942999999999998</v>
      </c>
      <c r="H35" s="7"/>
      <c r="I35" s="7"/>
      <c r="J35" s="7"/>
      <c r="K35" s="7"/>
      <c r="L35" s="5">
        <v>61.948999999999998</v>
      </c>
      <c r="M35" s="5">
        <v>61.948</v>
      </c>
      <c r="N35" s="5">
        <v>61.951999999999998</v>
      </c>
      <c r="O35" s="5">
        <v>61.948999999999998</v>
      </c>
      <c r="P35" s="5">
        <v>61.947000000000003</v>
      </c>
      <c r="Q35" s="5">
        <v>61.947000000000003</v>
      </c>
      <c r="R35" s="5">
        <v>61.945999999999998</v>
      </c>
      <c r="S35" s="5">
        <v>61.948</v>
      </c>
      <c r="T35" s="5">
        <v>61.944000000000003</v>
      </c>
      <c r="U35" s="5">
        <v>61.944000000000003</v>
      </c>
      <c r="V35" s="5">
        <v>61.945</v>
      </c>
      <c r="W35" s="5">
        <v>61.951000000000001</v>
      </c>
      <c r="X35" s="5">
        <v>61.954000000000001</v>
      </c>
      <c r="Y35" s="5">
        <v>61.951999999999998</v>
      </c>
      <c r="Z35" s="5">
        <v>61.948999999999998</v>
      </c>
      <c r="AA35" s="5"/>
      <c r="AB35" s="5"/>
      <c r="AC35" s="5"/>
      <c r="AD35" s="5"/>
      <c r="AE35" s="5"/>
      <c r="AF35" s="5">
        <v>61.948</v>
      </c>
      <c r="AG35" s="5">
        <v>61.947000000000003</v>
      </c>
      <c r="AH35" s="5">
        <v>61.951999999999998</v>
      </c>
      <c r="AI35" s="5">
        <v>61.954000000000001</v>
      </c>
      <c r="AJ35" s="5">
        <v>61.948</v>
      </c>
      <c r="AK35" s="5"/>
      <c r="AL35" s="5"/>
      <c r="AM35" s="5"/>
      <c r="AN35" s="5"/>
      <c r="AO35" s="5"/>
      <c r="AP35" s="5">
        <v>61.954999999999998</v>
      </c>
      <c r="AQ35" s="5">
        <v>61.957000000000001</v>
      </c>
      <c r="AR35" s="5">
        <v>61.954000000000001</v>
      </c>
      <c r="AS35" s="5">
        <v>61.954999999999998</v>
      </c>
      <c r="AT35" s="5">
        <v>61.957000000000001</v>
      </c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>
        <v>61.947000000000003</v>
      </c>
      <c r="BF35" s="5">
        <v>61.942</v>
      </c>
      <c r="BG35" s="5">
        <v>61.936</v>
      </c>
      <c r="BH35" s="5">
        <v>61.948999999999998</v>
      </c>
      <c r="BI35" s="5">
        <v>61.936999999999998</v>
      </c>
      <c r="BJ35" s="5"/>
      <c r="BK35" s="5"/>
      <c r="BL35" s="5"/>
      <c r="BM35" s="5"/>
      <c r="BN35" s="5"/>
      <c r="BO35" s="5">
        <v>61.953000000000003</v>
      </c>
      <c r="BP35" s="5">
        <v>61.947000000000003</v>
      </c>
      <c r="BQ35" s="5">
        <v>61.951000000000001</v>
      </c>
      <c r="BR35" s="5">
        <v>61.948999999999998</v>
      </c>
      <c r="BS35" s="5">
        <v>61.953000000000003</v>
      </c>
      <c r="BT35" s="5"/>
      <c r="BU35" s="5"/>
      <c r="BV35" s="5"/>
      <c r="BW35" s="5"/>
      <c r="BX35" s="5"/>
      <c r="BY35" s="5">
        <v>61.94</v>
      </c>
      <c r="BZ35" s="5">
        <v>61.944000000000003</v>
      </c>
      <c r="CA35" s="5">
        <v>61.945999999999998</v>
      </c>
      <c r="CB35" s="5">
        <v>61.941000000000003</v>
      </c>
      <c r="CC35" s="5">
        <v>61.947000000000003</v>
      </c>
      <c r="CD35" s="5"/>
      <c r="CE35" s="5"/>
      <c r="CF35" s="5"/>
      <c r="CG35" s="5"/>
      <c r="CH35" s="5"/>
      <c r="CI35" s="5">
        <v>61.951000000000001</v>
      </c>
      <c r="CJ35" s="5">
        <v>61.954000000000001</v>
      </c>
      <c r="CK35" s="5">
        <v>61.942</v>
      </c>
      <c r="CL35" s="5">
        <v>61.945999999999998</v>
      </c>
      <c r="CM35" s="5">
        <v>61.944000000000003</v>
      </c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>
        <v>61.948</v>
      </c>
      <c r="DI35" s="5">
        <v>61.957000000000001</v>
      </c>
      <c r="DJ35" s="5">
        <v>61.951999999999998</v>
      </c>
      <c r="DK35" s="5">
        <v>61.951000000000001</v>
      </c>
      <c r="DL35" s="5">
        <v>61.948999999999998</v>
      </c>
      <c r="DM35" s="5">
        <v>61.951999999999998</v>
      </c>
      <c r="DN35" s="5">
        <v>61.951000000000001</v>
      </c>
      <c r="DO35" s="5">
        <v>61.954999999999998</v>
      </c>
      <c r="DP35" s="5">
        <v>61.953000000000003</v>
      </c>
      <c r="DQ35" s="5">
        <v>61.942</v>
      </c>
      <c r="DR35" s="5">
        <v>61.951000000000001</v>
      </c>
      <c r="DS35" s="5">
        <v>61.948999999999998</v>
      </c>
      <c r="DT35" s="5">
        <v>61.951999999999998</v>
      </c>
      <c r="DU35" s="5">
        <v>61.948</v>
      </c>
      <c r="DV35" s="5">
        <v>61.944000000000003</v>
      </c>
      <c r="DW35" s="5">
        <v>61.951999999999998</v>
      </c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>
        <v>61.951000000000001</v>
      </c>
      <c r="HM35" s="5">
        <v>61.95</v>
      </c>
      <c r="HN35" s="5">
        <v>61.951000000000001</v>
      </c>
      <c r="HO35" s="5">
        <v>61.953000000000003</v>
      </c>
      <c r="HP35" s="5">
        <v>61.951000000000001</v>
      </c>
      <c r="HQ35" s="13">
        <v>61.948</v>
      </c>
      <c r="HR35" s="14">
        <v>61.944000000000003</v>
      </c>
      <c r="HS35" s="14">
        <v>61.95</v>
      </c>
      <c r="HT35" s="14">
        <v>61.954999999999998</v>
      </c>
      <c r="HU35" s="14"/>
      <c r="HV35" s="14"/>
      <c r="HW35" s="14"/>
      <c r="HX35" s="14"/>
      <c r="HY35" s="14"/>
      <c r="HZ35" s="14"/>
      <c r="IA35" s="14"/>
      <c r="IB35" s="11"/>
      <c r="IC35" s="11"/>
      <c r="ID35" s="11"/>
      <c r="IE35" s="11"/>
      <c r="IF35" s="11"/>
      <c r="IG35" s="11"/>
      <c r="IH35" s="11"/>
      <c r="II35" s="11"/>
      <c r="IJ35" s="11"/>
      <c r="IK35" s="11"/>
      <c r="IL35" s="14"/>
      <c r="IM35" s="14"/>
      <c r="IN35" s="14"/>
      <c r="IO35" s="14"/>
      <c r="IP35" s="14"/>
      <c r="IQ35" s="14">
        <v>61.954000000000001</v>
      </c>
      <c r="IR35" s="14">
        <v>61.953000000000003</v>
      </c>
      <c r="IS35" s="14">
        <v>61.948</v>
      </c>
      <c r="IT35" s="14">
        <v>61.947000000000003</v>
      </c>
      <c r="IU35" s="14">
        <v>61.933</v>
      </c>
      <c r="IV35" s="14"/>
      <c r="IW35" s="14"/>
      <c r="IX35" s="14"/>
      <c r="IY35" s="14"/>
      <c r="IZ35" s="14"/>
      <c r="JA35" s="14">
        <v>61.954000000000001</v>
      </c>
      <c r="JB35" s="14">
        <v>61.95</v>
      </c>
      <c r="JC35" s="14">
        <v>61.948</v>
      </c>
      <c r="JD35" s="14">
        <v>61.945999999999998</v>
      </c>
      <c r="JE35" s="14">
        <v>61.951000000000001</v>
      </c>
      <c r="JF35" s="14"/>
      <c r="JG35" s="14"/>
      <c r="JH35" s="14"/>
      <c r="JI35" s="14"/>
      <c r="JJ35" s="14"/>
      <c r="JK35" s="14">
        <v>61.945999999999998</v>
      </c>
      <c r="JL35" s="14">
        <v>61.948</v>
      </c>
      <c r="JM35" s="14">
        <v>61.948999999999998</v>
      </c>
      <c r="JN35" s="14">
        <v>61.947000000000003</v>
      </c>
      <c r="JO35" s="14">
        <v>61.951999999999998</v>
      </c>
      <c r="JP35" s="14"/>
      <c r="JQ35" s="14"/>
      <c r="JR35" s="14"/>
      <c r="JS35" s="14"/>
      <c r="JT35" s="14"/>
      <c r="JU35" s="14">
        <v>61.948</v>
      </c>
      <c r="JV35" s="14">
        <v>61.951999999999998</v>
      </c>
      <c r="JW35" s="14">
        <v>61.948999999999998</v>
      </c>
      <c r="JX35" s="14">
        <v>61.953000000000003</v>
      </c>
      <c r="JY35" s="14">
        <v>61.951000000000001</v>
      </c>
      <c r="JZ35" s="14"/>
      <c r="KA35" s="14"/>
      <c r="KB35" s="14"/>
      <c r="KC35" s="14"/>
      <c r="KD35" s="14"/>
      <c r="KE35" s="14">
        <v>61.938000000000002</v>
      </c>
      <c r="KF35" s="14">
        <v>61.942</v>
      </c>
      <c r="KG35" s="14">
        <v>61.944000000000003</v>
      </c>
      <c r="KH35" s="14">
        <v>61.945</v>
      </c>
      <c r="KI35" s="14">
        <v>61.941000000000003</v>
      </c>
      <c r="KJ35" s="14"/>
      <c r="KK35" s="14"/>
      <c r="KL35" s="14"/>
      <c r="KM35" s="14"/>
      <c r="KN35" s="14"/>
      <c r="KO35" s="14"/>
      <c r="KP35" s="14"/>
      <c r="KQ35" s="14"/>
      <c r="KR35" s="14"/>
      <c r="KS35" s="14"/>
      <c r="KT35" s="14"/>
      <c r="KU35" s="14"/>
      <c r="KV35" s="14"/>
      <c r="KW35" s="14"/>
      <c r="KX35" s="14"/>
      <c r="KY35" s="14"/>
      <c r="KZ35" s="14"/>
      <c r="LA35" s="14"/>
      <c r="LB35" s="14"/>
      <c r="LC35" s="14"/>
      <c r="LD35" s="14"/>
      <c r="LE35" s="14"/>
      <c r="LF35" s="14"/>
      <c r="LG35" s="14"/>
      <c r="LH35" s="14"/>
      <c r="LI35" s="14"/>
      <c r="LJ35" s="14"/>
      <c r="LK35" s="14"/>
      <c r="LL35" s="14"/>
      <c r="LM35" s="14"/>
      <c r="LN35" s="22">
        <f t="shared" si="1"/>
        <v>35</v>
      </c>
      <c r="LO35" s="6">
        <f t="shared" si="2"/>
        <v>16.041685714285716</v>
      </c>
      <c r="LP35" s="21">
        <f t="shared" si="3"/>
        <v>3.8939729339176415E-3</v>
      </c>
      <c r="LQ35" s="7">
        <f t="shared" si="4"/>
        <v>1.0700296939339611</v>
      </c>
      <c r="LR35" s="7">
        <f t="shared" si="5"/>
        <v>0.71172260785077646</v>
      </c>
      <c r="LS35" s="7">
        <f t="shared" ref="LS35:LS50" si="8">(LO35-F37)/(3*LP35)</f>
        <v>1.4283367800171456</v>
      </c>
      <c r="LT35" s="7">
        <f t="shared" si="7"/>
        <v>0.71172260785077646</v>
      </c>
    </row>
    <row r="36" spans="1:332">
      <c r="A36" s="21" t="s">
        <v>41</v>
      </c>
      <c r="B36" s="21" t="s">
        <v>42</v>
      </c>
      <c r="C36" s="21" t="s">
        <v>45</v>
      </c>
      <c r="D36" s="21" t="s">
        <v>34</v>
      </c>
      <c r="E36" s="5">
        <v>85.04</v>
      </c>
      <c r="F36" s="5">
        <v>85.01</v>
      </c>
      <c r="G36" s="5">
        <f t="shared" si="0"/>
        <v>85.025000000000006</v>
      </c>
      <c r="H36" s="7"/>
      <c r="I36" s="7"/>
      <c r="J36" s="7"/>
      <c r="K36" s="7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>
        <v>85.025999999999996</v>
      </c>
      <c r="AG36" s="5">
        <v>85.022000000000006</v>
      </c>
      <c r="AH36" s="5">
        <v>85.028000000000006</v>
      </c>
      <c r="AI36" s="5">
        <v>85.025999999999996</v>
      </c>
      <c r="AJ36" s="5">
        <v>85.031999999999996</v>
      </c>
      <c r="AK36" s="5"/>
      <c r="AL36" s="5"/>
      <c r="AM36" s="5"/>
      <c r="AN36" s="5"/>
      <c r="AO36" s="5"/>
      <c r="AP36" s="5">
        <v>85.012</v>
      </c>
      <c r="AQ36" s="5">
        <v>85.016999999999996</v>
      </c>
      <c r="AR36" s="5">
        <v>85.013000000000005</v>
      </c>
      <c r="AS36" s="5">
        <v>85.012</v>
      </c>
      <c r="AT36" s="5">
        <v>85.021000000000001</v>
      </c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>
        <v>85.024000000000001</v>
      </c>
      <c r="BF36" s="5">
        <v>85.028999999999996</v>
      </c>
      <c r="BG36" s="5">
        <v>85.031999999999996</v>
      </c>
      <c r="BH36" s="5">
        <v>85.025000000000006</v>
      </c>
      <c r="BI36" s="5">
        <v>85.034000000000006</v>
      </c>
      <c r="BJ36" s="5"/>
      <c r="BK36" s="5"/>
      <c r="BL36" s="5"/>
      <c r="BM36" s="5"/>
      <c r="BN36" s="5"/>
      <c r="BO36" s="5">
        <v>85.031000000000006</v>
      </c>
      <c r="BP36" s="5">
        <v>85.028000000000006</v>
      </c>
      <c r="BQ36" s="5">
        <v>85.021000000000001</v>
      </c>
      <c r="BR36" s="5">
        <v>85.022999999999996</v>
      </c>
      <c r="BS36" s="5">
        <v>85.025999999999996</v>
      </c>
      <c r="BT36" s="5"/>
      <c r="BU36" s="5"/>
      <c r="BV36" s="5"/>
      <c r="BW36" s="5"/>
      <c r="BX36" s="5"/>
      <c r="BY36" s="5">
        <v>85.025000000000006</v>
      </c>
      <c r="BZ36" s="5">
        <v>85.022000000000006</v>
      </c>
      <c r="CA36" s="5">
        <v>85.019000000000005</v>
      </c>
      <c r="CB36" s="5">
        <v>85.022999999999996</v>
      </c>
      <c r="CC36" s="5">
        <v>85.025999999999996</v>
      </c>
      <c r="CD36" s="5"/>
      <c r="CE36" s="5"/>
      <c r="CF36" s="5"/>
      <c r="CG36" s="5"/>
      <c r="CH36" s="5"/>
      <c r="CI36" s="5">
        <v>85.03</v>
      </c>
      <c r="CJ36" s="5">
        <v>85.024000000000001</v>
      </c>
      <c r="CK36" s="5">
        <v>85.025999999999996</v>
      </c>
      <c r="CL36" s="5">
        <v>85.021000000000001</v>
      </c>
      <c r="CM36" s="5">
        <v>85.022999999999996</v>
      </c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>
        <v>85.022000000000006</v>
      </c>
      <c r="DI36" s="5">
        <v>85.024000000000001</v>
      </c>
      <c r="DJ36" s="5">
        <v>85.025999999999996</v>
      </c>
      <c r="DK36" s="5">
        <v>85.03</v>
      </c>
      <c r="DL36" s="5">
        <v>85.025000000000006</v>
      </c>
      <c r="DM36" s="5">
        <v>85.022000000000006</v>
      </c>
      <c r="DN36" s="5">
        <v>85.022000000000006</v>
      </c>
      <c r="DO36" s="5">
        <v>85.022999999999996</v>
      </c>
      <c r="DP36" s="5">
        <v>85.024000000000001</v>
      </c>
      <c r="DQ36" s="5">
        <v>85.02</v>
      </c>
      <c r="DR36" s="5">
        <v>85.031999999999996</v>
      </c>
      <c r="DS36" s="5">
        <v>85.028999999999996</v>
      </c>
      <c r="DT36" s="5">
        <v>85.022000000000006</v>
      </c>
      <c r="DU36" s="5">
        <v>85.022000000000006</v>
      </c>
      <c r="DV36" s="5">
        <v>85.024000000000001</v>
      </c>
      <c r="DW36" s="5">
        <v>85.025000000000006</v>
      </c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>
        <v>85.027000000000001</v>
      </c>
      <c r="HM36" s="5">
        <v>85.024000000000001</v>
      </c>
      <c r="HN36" s="5">
        <v>85.025000000000006</v>
      </c>
      <c r="HO36" s="5">
        <v>85.025000000000006</v>
      </c>
      <c r="HP36" s="5">
        <v>85.021000000000001</v>
      </c>
      <c r="HQ36" s="13">
        <v>85.024000000000001</v>
      </c>
      <c r="HR36" s="14">
        <v>85.027000000000001</v>
      </c>
      <c r="HS36" s="14">
        <v>85.024000000000001</v>
      </c>
      <c r="HT36" s="14">
        <v>85.022999999999996</v>
      </c>
      <c r="HU36" s="14"/>
      <c r="HV36" s="14"/>
      <c r="HW36" s="14"/>
      <c r="HX36" s="14"/>
      <c r="HY36" s="14"/>
      <c r="HZ36" s="14"/>
      <c r="IA36" s="14"/>
      <c r="IB36" s="11"/>
      <c r="IC36" s="11"/>
      <c r="ID36" s="11"/>
      <c r="IE36" s="11"/>
      <c r="IF36" s="11"/>
      <c r="IG36" s="11"/>
      <c r="IH36" s="11"/>
      <c r="II36" s="11"/>
      <c r="IJ36" s="11"/>
      <c r="IK36" s="11"/>
      <c r="IL36" s="14"/>
      <c r="IM36" s="14"/>
      <c r="IN36" s="14"/>
      <c r="IO36" s="14"/>
      <c r="IP36" s="14"/>
      <c r="IQ36" s="14">
        <v>85.018000000000001</v>
      </c>
      <c r="IR36" s="14">
        <v>85.019000000000005</v>
      </c>
      <c r="IS36" s="14">
        <v>85.024000000000001</v>
      </c>
      <c r="IT36" s="14">
        <v>85.022000000000006</v>
      </c>
      <c r="IU36" s="14">
        <v>85.02</v>
      </c>
      <c r="IV36" s="14"/>
      <c r="IW36" s="14"/>
      <c r="IX36" s="14"/>
      <c r="IY36" s="14"/>
      <c r="IZ36" s="14"/>
      <c r="JA36" s="14">
        <v>85.031999999999996</v>
      </c>
      <c r="JB36" s="14">
        <v>85.028000000000006</v>
      </c>
      <c r="JC36" s="14">
        <v>85.024000000000001</v>
      </c>
      <c r="JD36" s="14">
        <v>85.022000000000006</v>
      </c>
      <c r="JE36" s="14">
        <v>85.03</v>
      </c>
      <c r="JF36" s="14"/>
      <c r="JG36" s="14"/>
      <c r="JH36" s="14"/>
      <c r="JI36" s="14"/>
      <c r="JJ36" s="14"/>
      <c r="JK36" s="14">
        <v>85.022000000000006</v>
      </c>
      <c r="JL36" s="14">
        <v>85.024000000000001</v>
      </c>
      <c r="JM36" s="14">
        <v>85.022000000000006</v>
      </c>
      <c r="JN36" s="14">
        <v>85.027000000000001</v>
      </c>
      <c r="JO36" s="14">
        <v>85.031000000000006</v>
      </c>
      <c r="JP36" s="14"/>
      <c r="JQ36" s="14"/>
      <c r="JR36" s="14"/>
      <c r="JS36" s="14"/>
      <c r="JT36" s="14"/>
      <c r="JU36" s="14">
        <v>85.03</v>
      </c>
      <c r="JV36" s="14">
        <v>85.028999999999996</v>
      </c>
      <c r="JW36" s="14">
        <v>85.028000000000006</v>
      </c>
      <c r="JX36" s="14">
        <v>85.028999999999996</v>
      </c>
      <c r="JY36" s="14">
        <v>85.031999999999996</v>
      </c>
      <c r="JZ36" s="14"/>
      <c r="KA36" s="14"/>
      <c r="KB36" s="14"/>
      <c r="KC36" s="14"/>
      <c r="KD36" s="14"/>
      <c r="KE36" s="14">
        <v>85.024000000000001</v>
      </c>
      <c r="KF36" s="14">
        <v>85.025999999999996</v>
      </c>
      <c r="KG36" s="14">
        <v>85.022000000000006</v>
      </c>
      <c r="KH36" s="14">
        <v>85.021000000000001</v>
      </c>
      <c r="KI36" s="14">
        <v>85.024000000000001</v>
      </c>
      <c r="KJ36" s="14"/>
      <c r="KK36" s="14"/>
      <c r="KL36" s="14"/>
      <c r="KM36" s="14"/>
      <c r="KN36" s="14"/>
      <c r="KO36" s="14"/>
      <c r="KP36" s="14"/>
      <c r="KQ36" s="14"/>
      <c r="KR36" s="14"/>
      <c r="KS36" s="14"/>
      <c r="KT36" s="14"/>
      <c r="KU36" s="14"/>
      <c r="KV36" s="14"/>
      <c r="KW36" s="14"/>
      <c r="KX36" s="14"/>
      <c r="KY36" s="14"/>
      <c r="KZ36" s="14"/>
      <c r="LA36" s="14"/>
      <c r="LB36" s="14"/>
      <c r="LC36" s="14"/>
      <c r="LD36" s="14"/>
      <c r="LE36" s="14"/>
      <c r="LF36" s="14"/>
      <c r="LG36" s="14"/>
      <c r="LH36" s="14"/>
      <c r="LI36" s="14"/>
      <c r="LJ36" s="14"/>
      <c r="LK36" s="14"/>
      <c r="LL36" s="14"/>
      <c r="LM36" s="14"/>
      <c r="LN36" s="22">
        <f t="shared" si="1"/>
        <v>25</v>
      </c>
      <c r="LO36" s="6">
        <f t="shared" si="2"/>
        <v>52.490199999999994</v>
      </c>
      <c r="LP36" s="21">
        <f t="shared" si="3"/>
        <v>1.6624768168812063</v>
      </c>
      <c r="LQ36" s="7">
        <f t="shared" si="4"/>
        <v>3.0075607366243763E-3</v>
      </c>
      <c r="LR36" s="7">
        <f t="shared" si="5"/>
        <v>-9.4277003890713459E-2</v>
      </c>
      <c r="LS36" s="7">
        <f t="shared" si="8"/>
        <v>0.10029212536396222</v>
      </c>
      <c r="LT36" s="7">
        <f t="shared" si="7"/>
        <v>-9.4277003890713459E-2</v>
      </c>
    </row>
    <row r="37" spans="1:332">
      <c r="A37" s="21" t="s">
        <v>41</v>
      </c>
      <c r="B37" s="21" t="s">
        <v>42</v>
      </c>
      <c r="C37" s="21" t="s">
        <v>45</v>
      </c>
      <c r="D37" s="21" t="s">
        <v>35</v>
      </c>
      <c r="E37" s="5">
        <v>16.05</v>
      </c>
      <c r="F37" s="5">
        <v>16.024999999999999</v>
      </c>
      <c r="G37" s="5">
        <f t="shared" si="0"/>
        <v>16.037500000000001</v>
      </c>
      <c r="H37" s="7"/>
      <c r="I37" s="7"/>
      <c r="J37" s="7"/>
      <c r="K37" s="7"/>
      <c r="L37" s="5">
        <v>16.036000000000001</v>
      </c>
      <c r="M37" s="5">
        <v>16.036999999999999</v>
      </c>
      <c r="N37" s="5">
        <v>16.042000000000002</v>
      </c>
      <c r="O37" s="5">
        <v>16.04</v>
      </c>
      <c r="P37" s="5">
        <v>16.041</v>
      </c>
      <c r="Q37" s="5"/>
      <c r="R37" s="5"/>
      <c r="S37" s="5"/>
      <c r="T37" s="5"/>
      <c r="U37" s="5"/>
      <c r="V37" s="5">
        <v>16.041</v>
      </c>
      <c r="W37" s="5">
        <v>16.042000000000002</v>
      </c>
      <c r="X37" s="5">
        <v>16.044</v>
      </c>
      <c r="Y37" s="5">
        <v>16.045999999999999</v>
      </c>
      <c r="Z37" s="5">
        <v>16.048999999999999</v>
      </c>
      <c r="AA37" s="5"/>
      <c r="AB37" s="5"/>
      <c r="AC37" s="5"/>
      <c r="AD37" s="5"/>
      <c r="AE37" s="5"/>
      <c r="AF37" s="5">
        <v>16.044</v>
      </c>
      <c r="AG37" s="5">
        <v>16.042999999999999</v>
      </c>
      <c r="AH37" s="5">
        <v>16.041</v>
      </c>
      <c r="AI37" s="5">
        <v>16.042000000000002</v>
      </c>
      <c r="AJ37" s="5">
        <v>16.04</v>
      </c>
      <c r="AK37" s="5"/>
      <c r="AL37" s="5"/>
      <c r="AM37" s="5"/>
      <c r="AN37" s="5"/>
      <c r="AO37" s="5"/>
      <c r="AP37" s="5">
        <v>16.04</v>
      </c>
      <c r="AQ37" s="5">
        <v>16.041</v>
      </c>
      <c r="AR37" s="5">
        <v>16.04</v>
      </c>
      <c r="AS37" s="5">
        <v>16.044</v>
      </c>
      <c r="AT37" s="5">
        <v>16.047000000000001</v>
      </c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16.036000000000001</v>
      </c>
      <c r="BF37" s="5">
        <v>16.042000000000002</v>
      </c>
      <c r="BG37" s="5">
        <v>16.044</v>
      </c>
      <c r="BH37" s="5">
        <v>16.027000000000001</v>
      </c>
      <c r="BI37" s="5">
        <v>16.04</v>
      </c>
      <c r="BJ37" s="5"/>
      <c r="BK37" s="5"/>
      <c r="BL37" s="5"/>
      <c r="BM37" s="5"/>
      <c r="BN37" s="5"/>
      <c r="BO37" s="5">
        <v>16.042000000000002</v>
      </c>
      <c r="BP37" s="5">
        <v>16.045999999999999</v>
      </c>
      <c r="BQ37" s="5">
        <v>16.042999999999999</v>
      </c>
      <c r="BR37" s="5">
        <v>16.039000000000001</v>
      </c>
      <c r="BS37" s="5">
        <v>16.041</v>
      </c>
      <c r="BT37" s="5"/>
      <c r="BU37" s="5"/>
      <c r="BV37" s="5"/>
      <c r="BW37" s="5"/>
      <c r="BX37" s="5"/>
      <c r="BY37" s="5">
        <v>16.042000000000002</v>
      </c>
      <c r="BZ37" s="5">
        <v>16.041</v>
      </c>
      <c r="CA37" s="5">
        <v>16.047000000000001</v>
      </c>
      <c r="CB37" s="5">
        <v>16.045000000000002</v>
      </c>
      <c r="CC37" s="5">
        <v>16.044</v>
      </c>
      <c r="CD37" s="5"/>
      <c r="CE37" s="5"/>
      <c r="CF37" s="5"/>
      <c r="CG37" s="5"/>
      <c r="CH37" s="5"/>
      <c r="CI37" s="5">
        <v>16.052</v>
      </c>
      <c r="CJ37" s="5">
        <v>16.05</v>
      </c>
      <c r="CK37" s="5">
        <v>16.047999999999998</v>
      </c>
      <c r="CL37" s="5">
        <v>16.042000000000002</v>
      </c>
      <c r="CM37" s="5">
        <v>16.047000000000001</v>
      </c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>
        <v>16.042000000000002</v>
      </c>
      <c r="DI37" s="5">
        <v>16.04</v>
      </c>
      <c r="DJ37" s="5">
        <v>16.036999999999999</v>
      </c>
      <c r="DK37" s="5">
        <v>16.044</v>
      </c>
      <c r="DL37" s="5">
        <v>16.041</v>
      </c>
      <c r="DM37" s="5">
        <v>16.045999999999999</v>
      </c>
      <c r="DN37" s="5">
        <v>16.044</v>
      </c>
      <c r="DO37" s="5">
        <v>16.047000000000001</v>
      </c>
      <c r="DP37" s="5">
        <v>16.045999999999999</v>
      </c>
      <c r="DQ37" s="5">
        <v>16.045999999999999</v>
      </c>
      <c r="DR37" s="5">
        <v>16.044</v>
      </c>
      <c r="DS37" s="5">
        <v>16.036000000000001</v>
      </c>
      <c r="DT37" s="5">
        <v>16.038</v>
      </c>
      <c r="DU37" s="5">
        <v>16.042000000000002</v>
      </c>
      <c r="DV37" s="5">
        <v>16.04</v>
      </c>
      <c r="DW37" s="5">
        <v>16.047999999999998</v>
      </c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>
        <v>16.045000000000002</v>
      </c>
      <c r="HM37" s="5">
        <v>16.044</v>
      </c>
      <c r="HN37" s="5">
        <v>16.045000000000002</v>
      </c>
      <c r="HO37" s="5">
        <v>16.042999999999999</v>
      </c>
      <c r="HP37" s="5">
        <v>16.041</v>
      </c>
      <c r="HQ37" s="13">
        <v>16.04</v>
      </c>
      <c r="HR37" s="14">
        <v>16.038</v>
      </c>
      <c r="HS37" s="14">
        <v>16.039000000000001</v>
      </c>
      <c r="HT37" s="14">
        <v>16.041</v>
      </c>
      <c r="HU37" s="14"/>
      <c r="HV37" s="14"/>
      <c r="HW37" s="14"/>
      <c r="HX37" s="14"/>
      <c r="HY37" s="14"/>
      <c r="HZ37" s="14"/>
      <c r="IA37" s="14"/>
      <c r="IB37" s="11"/>
      <c r="IC37" s="11"/>
      <c r="ID37" s="11"/>
      <c r="IE37" s="11"/>
      <c r="IF37" s="11"/>
      <c r="IG37" s="11"/>
      <c r="IH37" s="11"/>
      <c r="II37" s="11"/>
      <c r="IJ37" s="11"/>
      <c r="IK37" s="11"/>
      <c r="IL37" s="14"/>
      <c r="IM37" s="14"/>
      <c r="IN37" s="14"/>
      <c r="IO37" s="14"/>
      <c r="IP37" s="14"/>
      <c r="IQ37" s="14"/>
      <c r="IR37" s="14"/>
      <c r="IS37" s="14"/>
      <c r="IT37" s="14"/>
      <c r="IU37" s="14"/>
      <c r="IV37" s="14"/>
      <c r="IW37" s="14"/>
      <c r="IX37" s="14"/>
      <c r="IY37" s="14"/>
      <c r="IZ37" s="14"/>
      <c r="JA37" s="14">
        <v>16.052</v>
      </c>
      <c r="JB37" s="14">
        <v>16.048999999999999</v>
      </c>
      <c r="JC37" s="14">
        <v>16.042999999999999</v>
      </c>
      <c r="JD37" s="14">
        <v>16.042000000000002</v>
      </c>
      <c r="JE37" s="14">
        <v>16.041</v>
      </c>
      <c r="JF37" s="14"/>
      <c r="JG37" s="14"/>
      <c r="JH37" s="14"/>
      <c r="JI37" s="14"/>
      <c r="JJ37" s="14"/>
      <c r="JK37" s="14">
        <v>16.042000000000002</v>
      </c>
      <c r="JL37" s="14">
        <v>16.044</v>
      </c>
      <c r="JM37" s="14">
        <v>16.47</v>
      </c>
      <c r="JN37" s="14">
        <v>16.048999999999999</v>
      </c>
      <c r="JO37" s="14">
        <v>16.039000000000001</v>
      </c>
      <c r="JP37" s="14"/>
      <c r="JQ37" s="14"/>
      <c r="JR37" s="14"/>
      <c r="JS37" s="14"/>
      <c r="JT37" s="14"/>
      <c r="JU37" s="14">
        <v>16.047999999999998</v>
      </c>
      <c r="JV37" s="14">
        <v>16.044</v>
      </c>
      <c r="JW37" s="14">
        <v>16.045999999999999</v>
      </c>
      <c r="JX37" s="14">
        <v>16.048999999999999</v>
      </c>
      <c r="JY37" s="14">
        <v>16.050999999999998</v>
      </c>
      <c r="JZ37" s="14"/>
      <c r="KA37" s="14"/>
      <c r="KB37" s="14"/>
      <c r="KC37" s="14"/>
      <c r="KD37" s="14"/>
      <c r="KE37" s="14">
        <v>16.047999999999998</v>
      </c>
      <c r="KF37" s="14">
        <v>16.044</v>
      </c>
      <c r="KG37" s="14">
        <v>16.042000000000002</v>
      </c>
      <c r="KH37" s="14">
        <v>16.041</v>
      </c>
      <c r="KI37" s="14">
        <v>16.038</v>
      </c>
      <c r="KJ37" s="14"/>
      <c r="KK37" s="14"/>
      <c r="KL37" s="14"/>
      <c r="KM37" s="14"/>
      <c r="KN37" s="14"/>
      <c r="KO37" s="14"/>
      <c r="KP37" s="14"/>
      <c r="KQ37" s="14"/>
      <c r="KR37" s="14"/>
      <c r="KS37" s="14"/>
      <c r="KT37" s="14"/>
      <c r="KU37" s="14"/>
      <c r="KV37" s="14"/>
      <c r="KW37" s="14"/>
      <c r="KX37" s="14"/>
      <c r="KY37" s="14"/>
      <c r="KZ37" s="14"/>
      <c r="LA37" s="14"/>
      <c r="LB37" s="14"/>
      <c r="LC37" s="14"/>
      <c r="LD37" s="14"/>
      <c r="LE37" s="14"/>
      <c r="LF37" s="14"/>
      <c r="LG37" s="14"/>
      <c r="LH37" s="14"/>
      <c r="LI37" s="14"/>
      <c r="LJ37" s="14"/>
      <c r="LK37" s="14"/>
      <c r="LL37" s="14"/>
      <c r="LM37" s="14"/>
      <c r="LN37" s="22">
        <f t="shared" si="1"/>
        <v>40</v>
      </c>
      <c r="LO37" s="6">
        <f t="shared" si="2"/>
        <v>14.015700000000001</v>
      </c>
      <c r="LP37" s="21">
        <f t="shared" si="3"/>
        <v>5.6893963448885086E-3</v>
      </c>
      <c r="LQ37" s="7">
        <f t="shared" si="4"/>
        <v>1.4647130957610335</v>
      </c>
      <c r="LR37" s="7">
        <f t="shared" si="5"/>
        <v>0.83781589077524976</v>
      </c>
      <c r="LS37" s="7">
        <f t="shared" si="8"/>
        <v>2.0916103007468174</v>
      </c>
      <c r="LT37" s="7">
        <f>MIN(LR37:LS37)</f>
        <v>0.83781589077524976</v>
      </c>
    </row>
    <row r="38" spans="1:332">
      <c r="A38" s="21" t="s">
        <v>41</v>
      </c>
      <c r="B38" s="21" t="s">
        <v>42</v>
      </c>
      <c r="C38" s="21" t="s">
        <v>45</v>
      </c>
      <c r="D38" s="21" t="s">
        <v>36</v>
      </c>
      <c r="E38" s="5">
        <v>52.02</v>
      </c>
      <c r="F38" s="5">
        <v>51.99</v>
      </c>
      <c r="G38" s="5">
        <f t="shared" si="0"/>
        <v>52.005000000000003</v>
      </c>
      <c r="H38" s="7"/>
      <c r="I38" s="7"/>
      <c r="J38" s="7"/>
      <c r="K38" s="7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>
        <v>52.014000000000003</v>
      </c>
      <c r="AG38" s="5">
        <v>52.011000000000003</v>
      </c>
      <c r="AH38" s="5">
        <v>52.012</v>
      </c>
      <c r="AI38" s="5">
        <v>52.015000000000001</v>
      </c>
      <c r="AJ38" s="5">
        <v>52.008000000000003</v>
      </c>
      <c r="AK38" s="5"/>
      <c r="AL38" s="5"/>
      <c r="AM38" s="5"/>
      <c r="AN38" s="5"/>
      <c r="AO38" s="5"/>
      <c r="AP38" s="5">
        <v>52.015999999999998</v>
      </c>
      <c r="AQ38" s="5">
        <v>52.006999999999998</v>
      </c>
      <c r="AR38" s="5">
        <v>52.018000000000001</v>
      </c>
      <c r="AS38" s="5">
        <v>58.008000000000003</v>
      </c>
      <c r="AT38" s="5">
        <v>58.02</v>
      </c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>
        <v>52.011000000000003</v>
      </c>
      <c r="BF38" s="5">
        <v>52.015999999999998</v>
      </c>
      <c r="BG38" s="5">
        <v>51.996000000000002</v>
      </c>
      <c r="BH38" s="5">
        <v>52.017000000000003</v>
      </c>
      <c r="BI38" s="5">
        <v>52.01</v>
      </c>
      <c r="BJ38" s="5"/>
      <c r="BK38" s="5"/>
      <c r="BL38" s="5"/>
      <c r="BM38" s="5"/>
      <c r="BN38" s="5"/>
      <c r="BO38" s="5">
        <v>52.008000000000003</v>
      </c>
      <c r="BP38" s="5">
        <v>52.006</v>
      </c>
      <c r="BQ38" s="5">
        <v>52.011000000000003</v>
      </c>
      <c r="BR38" s="5">
        <v>52.009</v>
      </c>
      <c r="BS38" s="5">
        <v>52.012999999999998</v>
      </c>
      <c r="BT38" s="5"/>
      <c r="BU38" s="5"/>
      <c r="BV38" s="5"/>
      <c r="BW38" s="5"/>
      <c r="BX38" s="5"/>
      <c r="BY38" s="5">
        <v>52.002000000000002</v>
      </c>
      <c r="BZ38" s="5">
        <v>52.003999999999998</v>
      </c>
      <c r="CA38" s="5">
        <v>52.01</v>
      </c>
      <c r="CB38" s="5">
        <v>52.006999999999998</v>
      </c>
      <c r="CC38" s="5">
        <v>52.006</v>
      </c>
      <c r="CD38" s="5"/>
      <c r="CE38" s="5"/>
      <c r="CF38" s="5"/>
      <c r="CG38" s="5"/>
      <c r="CH38" s="5"/>
      <c r="CI38" s="5">
        <v>52.008000000000003</v>
      </c>
      <c r="CJ38" s="5">
        <v>52.012</v>
      </c>
      <c r="CK38" s="5">
        <v>52.015000000000001</v>
      </c>
      <c r="CL38" s="5">
        <v>52.011000000000003</v>
      </c>
      <c r="CM38" s="5">
        <v>52.01</v>
      </c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>
        <v>52.009</v>
      </c>
      <c r="DI38" s="5">
        <v>52.01</v>
      </c>
      <c r="DJ38" s="5">
        <v>52.011000000000003</v>
      </c>
      <c r="DK38" s="5">
        <v>52.01</v>
      </c>
      <c r="DL38" s="5">
        <v>52.006999999999998</v>
      </c>
      <c r="DM38" s="5">
        <v>52.009</v>
      </c>
      <c r="DN38" s="5">
        <v>52.003</v>
      </c>
      <c r="DO38" s="5">
        <v>52.006</v>
      </c>
      <c r="DP38" s="5">
        <v>52.005000000000003</v>
      </c>
      <c r="DQ38" s="5">
        <v>52.006999999999998</v>
      </c>
      <c r="DR38" s="5">
        <v>52.003</v>
      </c>
      <c r="DS38" s="5">
        <v>52.005000000000003</v>
      </c>
      <c r="DT38" s="5">
        <v>52.008000000000003</v>
      </c>
      <c r="DU38" s="5">
        <v>52.009</v>
      </c>
      <c r="DV38" s="5">
        <v>52.012</v>
      </c>
      <c r="DW38" s="5">
        <v>52.005000000000003</v>
      </c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>
        <v>52.006999999999998</v>
      </c>
      <c r="HM38" s="5">
        <v>52.005000000000003</v>
      </c>
      <c r="HN38" s="5">
        <v>52.006</v>
      </c>
      <c r="HO38" s="5">
        <v>52.006</v>
      </c>
      <c r="HP38" s="5">
        <v>52.009</v>
      </c>
      <c r="HQ38" s="13">
        <v>52.01</v>
      </c>
      <c r="HR38" s="14">
        <v>52.011000000000003</v>
      </c>
      <c r="HS38" s="14">
        <v>52.015000000000001</v>
      </c>
      <c r="HT38" s="14">
        <v>52.015999999999998</v>
      </c>
      <c r="HU38" s="14"/>
      <c r="HV38" s="14"/>
      <c r="HW38" s="14"/>
      <c r="HX38" s="14"/>
      <c r="HY38" s="14"/>
      <c r="HZ38" s="14"/>
      <c r="IA38" s="14"/>
      <c r="IB38" s="11"/>
      <c r="IC38" s="11"/>
      <c r="ID38" s="11"/>
      <c r="IE38" s="11"/>
      <c r="IF38" s="11"/>
      <c r="IG38" s="11"/>
      <c r="IH38" s="11"/>
      <c r="II38" s="11"/>
      <c r="IJ38" s="11"/>
      <c r="IK38" s="11"/>
      <c r="IL38" s="14"/>
      <c r="IM38" s="14"/>
      <c r="IN38" s="14"/>
      <c r="IO38" s="14"/>
      <c r="IP38" s="14"/>
      <c r="IQ38" s="14">
        <v>52.011000000000003</v>
      </c>
      <c r="IR38" s="14">
        <v>52.012999999999998</v>
      </c>
      <c r="IS38" s="14">
        <v>52.014000000000003</v>
      </c>
      <c r="IT38" s="14">
        <v>52.009</v>
      </c>
      <c r="IU38" s="14">
        <v>52.006</v>
      </c>
      <c r="IV38" s="14"/>
      <c r="IW38" s="14"/>
      <c r="IX38" s="14"/>
      <c r="IY38" s="14"/>
      <c r="IZ38" s="14"/>
      <c r="JA38" s="14">
        <v>52.012</v>
      </c>
      <c r="JB38" s="14">
        <v>52.01</v>
      </c>
      <c r="JC38" s="14">
        <v>52.009</v>
      </c>
      <c r="JD38" s="14">
        <v>52.015000000000001</v>
      </c>
      <c r="JE38" s="14">
        <v>52.006</v>
      </c>
      <c r="JF38" s="14"/>
      <c r="JG38" s="14"/>
      <c r="JH38" s="14"/>
      <c r="JI38" s="14"/>
      <c r="JJ38" s="14"/>
      <c r="JK38" s="14">
        <v>52.011000000000003</v>
      </c>
      <c r="JL38" s="14">
        <v>52.01</v>
      </c>
      <c r="JM38" s="14">
        <v>52.008000000000003</v>
      </c>
      <c r="JN38" s="14">
        <v>52.009</v>
      </c>
      <c r="JO38" s="14">
        <v>52.012</v>
      </c>
      <c r="JP38" s="14"/>
      <c r="JQ38" s="14"/>
      <c r="JR38" s="14"/>
      <c r="JS38" s="14"/>
      <c r="JT38" s="14"/>
      <c r="JU38" s="14">
        <v>52.014000000000003</v>
      </c>
      <c r="JV38" s="14">
        <v>52.01</v>
      </c>
      <c r="JW38" s="14">
        <v>52.012</v>
      </c>
      <c r="JX38" s="14">
        <v>52.011000000000003</v>
      </c>
      <c r="JY38" s="14">
        <v>52.014000000000003</v>
      </c>
      <c r="JZ38" s="14"/>
      <c r="KA38" s="14"/>
      <c r="KB38" s="14"/>
      <c r="KC38" s="14"/>
      <c r="KD38" s="14"/>
      <c r="KE38" s="14">
        <v>52.008000000000003</v>
      </c>
      <c r="KF38" s="14">
        <v>52.01</v>
      </c>
      <c r="KG38" s="14">
        <v>52.012</v>
      </c>
      <c r="KH38" s="14">
        <v>52.014000000000003</v>
      </c>
      <c r="KI38" s="14">
        <v>52.011000000000003</v>
      </c>
      <c r="KJ38" s="14"/>
      <c r="KK38" s="14"/>
      <c r="KL38" s="14"/>
      <c r="KM38" s="14"/>
      <c r="KN38" s="14"/>
      <c r="KO38" s="14"/>
      <c r="KP38" s="14"/>
      <c r="KQ38" s="14"/>
      <c r="KR38" s="14"/>
      <c r="KS38" s="14"/>
      <c r="KT38" s="14"/>
      <c r="KU38" s="14"/>
      <c r="KV38" s="14"/>
      <c r="KW38" s="14"/>
      <c r="KX38" s="14"/>
      <c r="KY38" s="14"/>
      <c r="KZ38" s="14"/>
      <c r="LA38" s="14"/>
      <c r="LB38" s="14"/>
      <c r="LC38" s="14"/>
      <c r="LD38" s="14"/>
      <c r="LE38" s="14"/>
      <c r="LF38" s="14"/>
      <c r="LG38" s="14"/>
      <c r="LH38" s="14"/>
      <c r="LI38" s="14"/>
      <c r="LJ38" s="14"/>
      <c r="LK38" s="14"/>
      <c r="LL38" s="14"/>
      <c r="LM38" s="14"/>
      <c r="LN38" s="22">
        <f t="shared" si="1"/>
        <v>35</v>
      </c>
      <c r="LO38" s="6">
        <f t="shared" si="2"/>
        <v>115.95877142857138</v>
      </c>
      <c r="LP38" s="21">
        <f t="shared" si="3"/>
        <v>2.2173229373285586E-2</v>
      </c>
      <c r="LQ38" s="7">
        <f t="shared" si="4"/>
        <v>0.75165716216086231</v>
      </c>
      <c r="LR38" s="7">
        <f t="shared" si="5"/>
        <v>0.61979501999967057</v>
      </c>
      <c r="LS38" s="7">
        <f t="shared" si="8"/>
        <v>0.88351930432205417</v>
      </c>
      <c r="LT38" s="7">
        <f>MIN(LR38:LS38)</f>
        <v>0.61979501999967057</v>
      </c>
    </row>
    <row r="39" spans="1:332">
      <c r="A39" s="21" t="s">
        <v>41</v>
      </c>
      <c r="B39" s="21" t="s">
        <v>42</v>
      </c>
      <c r="C39" s="21" t="s">
        <v>47</v>
      </c>
      <c r="D39" s="21" t="s">
        <v>38</v>
      </c>
      <c r="E39" s="5">
        <v>14.03</v>
      </c>
      <c r="F39" s="5">
        <v>13.98</v>
      </c>
      <c r="G39" s="5">
        <f t="shared" si="0"/>
        <v>14.004999999999999</v>
      </c>
      <c r="H39" s="7"/>
      <c r="I39" s="7"/>
      <c r="J39" s="7"/>
      <c r="K39" s="7"/>
      <c r="L39" s="5">
        <v>14.010999999999999</v>
      </c>
      <c r="M39" s="5">
        <v>14.015000000000001</v>
      </c>
      <c r="N39" s="5">
        <v>14.012</v>
      </c>
      <c r="O39" s="5">
        <v>14.016</v>
      </c>
      <c r="P39" s="5">
        <v>14.013</v>
      </c>
      <c r="Q39" s="5">
        <v>14.021000000000001</v>
      </c>
      <c r="R39" s="5">
        <v>14.022</v>
      </c>
      <c r="S39" s="5">
        <v>14.021000000000001</v>
      </c>
      <c r="T39" s="5">
        <v>14.02</v>
      </c>
      <c r="U39" s="5">
        <v>14.019</v>
      </c>
      <c r="V39" s="5">
        <v>14.016999999999999</v>
      </c>
      <c r="W39" s="5">
        <v>14.019</v>
      </c>
      <c r="X39" s="5">
        <v>14.021000000000001</v>
      </c>
      <c r="Y39" s="5">
        <v>14.015000000000001</v>
      </c>
      <c r="Z39" s="5">
        <v>14.012</v>
      </c>
      <c r="AA39" s="5"/>
      <c r="AB39" s="5"/>
      <c r="AC39" s="5"/>
      <c r="AD39" s="5"/>
      <c r="AE39" s="5"/>
      <c r="AF39" s="5">
        <v>14.012</v>
      </c>
      <c r="AG39" s="5">
        <v>14.013</v>
      </c>
      <c r="AH39" s="5">
        <v>14.016999999999999</v>
      </c>
      <c r="AI39" s="5">
        <v>14.018000000000001</v>
      </c>
      <c r="AJ39" s="5">
        <v>14.016</v>
      </c>
      <c r="AK39" s="5"/>
      <c r="AL39" s="5"/>
      <c r="AM39" s="5"/>
      <c r="AN39" s="5"/>
      <c r="AO39" s="5"/>
      <c r="AP39" s="5">
        <v>14.012</v>
      </c>
      <c r="AQ39" s="5">
        <v>14.009</v>
      </c>
      <c r="AR39" s="5">
        <v>14.018000000000001</v>
      </c>
      <c r="AS39" s="5">
        <v>14.02</v>
      </c>
      <c r="AT39" s="5">
        <v>14.010999999999999</v>
      </c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>
        <v>14.012</v>
      </c>
      <c r="BF39" s="5">
        <v>14.016999999999999</v>
      </c>
      <c r="BG39" s="5">
        <v>14.010999999999999</v>
      </c>
      <c r="BH39" s="5">
        <v>13.989000000000001</v>
      </c>
      <c r="BI39" s="5">
        <v>14.010999999999999</v>
      </c>
      <c r="BJ39" s="5"/>
      <c r="BK39" s="5"/>
      <c r="BL39" s="5"/>
      <c r="BM39" s="5"/>
      <c r="BN39" s="5"/>
      <c r="BO39" s="5">
        <v>14.018000000000001</v>
      </c>
      <c r="BP39" s="5">
        <v>14.02</v>
      </c>
      <c r="BQ39" s="5">
        <v>14.021000000000001</v>
      </c>
      <c r="BR39" s="5">
        <v>14.016</v>
      </c>
      <c r="BS39" s="5">
        <v>14.019</v>
      </c>
      <c r="BT39" s="5"/>
      <c r="BU39" s="5"/>
      <c r="BV39" s="5"/>
      <c r="BW39" s="5"/>
      <c r="BX39" s="5"/>
      <c r="BY39" s="5">
        <v>14.016999999999999</v>
      </c>
      <c r="BZ39" s="5">
        <v>14.022</v>
      </c>
      <c r="CA39" s="5">
        <v>14.019</v>
      </c>
      <c r="CB39" s="5">
        <v>14.016</v>
      </c>
      <c r="CC39" s="5">
        <v>14.02</v>
      </c>
      <c r="CD39" s="5"/>
      <c r="CE39" s="5"/>
      <c r="CF39" s="5"/>
      <c r="CG39" s="5"/>
      <c r="CH39" s="5"/>
      <c r="CI39" s="5">
        <v>14.02</v>
      </c>
      <c r="CJ39" s="5">
        <v>14.023</v>
      </c>
      <c r="CK39" s="5">
        <v>14.018000000000001</v>
      </c>
      <c r="CL39" s="5">
        <v>14.016999999999999</v>
      </c>
      <c r="CM39" s="5">
        <v>14.016</v>
      </c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>
        <v>14.01</v>
      </c>
      <c r="DI39" s="5">
        <v>14.012</v>
      </c>
      <c r="DJ39" s="5">
        <v>14.016</v>
      </c>
      <c r="DK39" s="5">
        <v>14.015000000000001</v>
      </c>
      <c r="DL39" s="5">
        <v>14.010999999999999</v>
      </c>
      <c r="DM39" s="5">
        <v>14.009</v>
      </c>
      <c r="DN39" s="5">
        <v>14.007999999999999</v>
      </c>
      <c r="DO39" s="5">
        <v>14.007999999999999</v>
      </c>
      <c r="DP39" s="5">
        <v>14.01</v>
      </c>
      <c r="DQ39" s="5">
        <v>14.013</v>
      </c>
      <c r="DR39" s="5">
        <v>14.013999999999999</v>
      </c>
      <c r="DS39" s="5">
        <v>14.018000000000001</v>
      </c>
      <c r="DT39" s="5">
        <v>14.023</v>
      </c>
      <c r="DU39" s="5">
        <v>14.016</v>
      </c>
      <c r="DV39" s="5">
        <v>14.018000000000001</v>
      </c>
      <c r="DW39" s="5">
        <v>14.007999999999999</v>
      </c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>
        <v>14.007</v>
      </c>
      <c r="HM39" s="5">
        <v>14.006</v>
      </c>
      <c r="HN39" s="5">
        <v>14.007</v>
      </c>
      <c r="HO39" s="5">
        <v>14.007</v>
      </c>
      <c r="HP39" s="5">
        <v>14.015000000000001</v>
      </c>
      <c r="HQ39" s="13">
        <v>14.016</v>
      </c>
      <c r="HR39" s="14">
        <v>14.01</v>
      </c>
      <c r="HS39" s="14">
        <v>14.010999999999999</v>
      </c>
      <c r="HT39" s="14">
        <v>14.012</v>
      </c>
      <c r="HU39" s="14"/>
      <c r="HV39" s="14"/>
      <c r="HW39" s="14"/>
      <c r="HX39" s="14"/>
      <c r="HY39" s="14"/>
      <c r="HZ39" s="14"/>
      <c r="IA39" s="14"/>
      <c r="IB39" s="11"/>
      <c r="IC39" s="11"/>
      <c r="ID39" s="11"/>
      <c r="IE39" s="11"/>
      <c r="IF39" s="11"/>
      <c r="IG39" s="11"/>
      <c r="IH39" s="11"/>
      <c r="II39" s="11"/>
      <c r="IJ39" s="11"/>
      <c r="IK39" s="11"/>
      <c r="IL39" s="14"/>
      <c r="IM39" s="14"/>
      <c r="IN39" s="14"/>
      <c r="IO39" s="14"/>
      <c r="IP39" s="14"/>
      <c r="IQ39" s="14">
        <v>14.016999999999999</v>
      </c>
      <c r="IR39" s="14">
        <v>14.02</v>
      </c>
      <c r="IS39" s="14">
        <v>14.021000000000001</v>
      </c>
      <c r="IT39" s="14">
        <v>14.021000000000001</v>
      </c>
      <c r="IU39" s="14">
        <v>14.022</v>
      </c>
      <c r="IV39" s="14"/>
      <c r="IW39" s="14"/>
      <c r="IX39" s="14"/>
      <c r="IY39" s="14"/>
      <c r="IZ39" s="14"/>
      <c r="JA39" s="14">
        <v>14.010999999999999</v>
      </c>
      <c r="JB39" s="14">
        <v>14.015000000000001</v>
      </c>
      <c r="JC39" s="14">
        <v>14.016</v>
      </c>
      <c r="JD39" s="14">
        <v>14.018000000000001</v>
      </c>
      <c r="JE39" s="14">
        <v>14.016999999999999</v>
      </c>
      <c r="JF39" s="14"/>
      <c r="JG39" s="14"/>
      <c r="JH39" s="14"/>
      <c r="JI39" s="14"/>
      <c r="JJ39" s="14"/>
      <c r="JK39" s="14">
        <v>14.02</v>
      </c>
      <c r="JL39" s="14">
        <v>14.016999999999999</v>
      </c>
      <c r="JM39" s="14">
        <v>14.012</v>
      </c>
      <c r="JN39" s="14">
        <v>14.015000000000001</v>
      </c>
      <c r="JO39" s="14">
        <v>14.016</v>
      </c>
      <c r="JP39" s="14"/>
      <c r="JQ39" s="14"/>
      <c r="JR39" s="14"/>
      <c r="JS39" s="14"/>
      <c r="JT39" s="14"/>
      <c r="JU39" s="14">
        <v>14.021000000000001</v>
      </c>
      <c r="JV39" s="14">
        <v>14.019</v>
      </c>
      <c r="JW39" s="14">
        <v>14.018000000000001</v>
      </c>
      <c r="JX39" s="14">
        <v>14.016999999999999</v>
      </c>
      <c r="JY39" s="14">
        <v>14.016</v>
      </c>
      <c r="JZ39" s="14"/>
      <c r="KA39" s="14"/>
      <c r="KB39" s="14"/>
      <c r="KC39" s="14"/>
      <c r="KD39" s="14"/>
      <c r="KE39" s="14">
        <v>14.021000000000001</v>
      </c>
      <c r="KF39" s="14">
        <v>14.018000000000001</v>
      </c>
      <c r="KG39" s="14">
        <v>14.012</v>
      </c>
      <c r="KH39" s="14">
        <v>14.010999999999999</v>
      </c>
      <c r="KI39" s="14">
        <v>14.015000000000001</v>
      </c>
      <c r="KJ39" s="14"/>
      <c r="KK39" s="14"/>
      <c r="KL39" s="14"/>
      <c r="KM39" s="14"/>
      <c r="KN39" s="14"/>
      <c r="KO39" s="14"/>
      <c r="KP39" s="14"/>
      <c r="KQ39" s="14"/>
      <c r="KR39" s="14"/>
      <c r="KS39" s="14"/>
      <c r="KT39" s="14"/>
      <c r="KU39" s="14"/>
      <c r="KV39" s="14"/>
      <c r="KW39" s="14"/>
      <c r="KX39" s="14"/>
      <c r="KY39" s="14"/>
      <c r="KZ39" s="14"/>
      <c r="LA39" s="14"/>
      <c r="LB39" s="14"/>
      <c r="LC39" s="14"/>
      <c r="LD39" s="14"/>
      <c r="LE39" s="14"/>
      <c r="LF39" s="14"/>
      <c r="LG39" s="14"/>
      <c r="LH39" s="14"/>
      <c r="LI39" s="14"/>
      <c r="LJ39" s="14"/>
      <c r="LK39" s="14"/>
      <c r="LL39" s="14"/>
      <c r="LM39" s="14"/>
      <c r="LN39" s="22">
        <f t="shared" si="1"/>
        <v>10</v>
      </c>
      <c r="LO39" s="6">
        <f t="shared" si="2"/>
        <v>29.946100000000001</v>
      </c>
      <c r="LP39" s="21">
        <f t="shared" si="3"/>
        <v>2.9608557321606664E-3</v>
      </c>
      <c r="LQ39" s="7">
        <f t="shared" si="4"/>
        <v>0.90064052689287288</v>
      </c>
      <c r="LR39" s="7">
        <f t="shared" si="5"/>
        <v>0.66422238858347127</v>
      </c>
      <c r="LS39" s="7">
        <f t="shared" si="8"/>
        <v>1.1370586652022745</v>
      </c>
      <c r="LT39" s="7">
        <f t="shared" si="7"/>
        <v>0.66422238858347127</v>
      </c>
    </row>
    <row r="40" spans="1:332">
      <c r="A40" s="21" t="s">
        <v>41</v>
      </c>
      <c r="B40" s="21" t="s">
        <v>42</v>
      </c>
      <c r="C40" s="21" t="s">
        <v>47</v>
      </c>
      <c r="D40" s="21" t="s">
        <v>39</v>
      </c>
      <c r="E40" s="5">
        <v>116</v>
      </c>
      <c r="F40" s="5">
        <v>115.9</v>
      </c>
      <c r="G40" s="5">
        <f t="shared" si="0"/>
        <v>115.95</v>
      </c>
      <c r="H40" s="7"/>
      <c r="I40" s="7"/>
      <c r="J40" s="7"/>
      <c r="K40" s="7"/>
      <c r="L40" s="5">
        <v>115.96</v>
      </c>
      <c r="M40" s="5">
        <v>115.94</v>
      </c>
      <c r="N40" s="5">
        <v>115.97</v>
      </c>
      <c r="O40" s="5">
        <v>115.96</v>
      </c>
      <c r="P40" s="5">
        <v>115.997</v>
      </c>
      <c r="Q40" s="5">
        <v>115.92</v>
      </c>
      <c r="R40" s="5">
        <v>115.96</v>
      </c>
      <c r="S40" s="5">
        <v>115.91</v>
      </c>
      <c r="T40" s="5">
        <v>115.91</v>
      </c>
      <c r="U40" s="5">
        <v>115.93</v>
      </c>
      <c r="V40" s="5">
        <v>115.99</v>
      </c>
      <c r="W40" s="5">
        <v>115.97</v>
      </c>
      <c r="X40" s="5">
        <v>115.94</v>
      </c>
      <c r="Y40" s="5">
        <v>115.92</v>
      </c>
      <c r="Z40" s="5">
        <v>115.95</v>
      </c>
      <c r="AA40" s="5"/>
      <c r="AB40" s="5"/>
      <c r="AC40" s="5"/>
      <c r="AD40" s="5"/>
      <c r="AE40" s="5"/>
      <c r="AF40" s="5">
        <v>115.95</v>
      </c>
      <c r="AG40" s="5">
        <v>115.98</v>
      </c>
      <c r="AH40" s="5">
        <v>115.96</v>
      </c>
      <c r="AI40" s="5">
        <v>115.98</v>
      </c>
      <c r="AJ40" s="5">
        <v>115.95</v>
      </c>
      <c r="AK40" s="5"/>
      <c r="AL40" s="5"/>
      <c r="AM40" s="5"/>
      <c r="AN40" s="5"/>
      <c r="AO40" s="5"/>
      <c r="AP40" s="5">
        <v>115.97</v>
      </c>
      <c r="AQ40" s="5">
        <v>115.95</v>
      </c>
      <c r="AR40" s="5">
        <v>115.97</v>
      </c>
      <c r="AS40" s="5">
        <v>115.95</v>
      </c>
      <c r="AT40" s="5">
        <v>115.98</v>
      </c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>
        <v>115.96</v>
      </c>
      <c r="BF40" s="5">
        <v>115.95</v>
      </c>
      <c r="BG40" s="5">
        <v>115.98</v>
      </c>
      <c r="BH40" s="5">
        <v>115.95</v>
      </c>
      <c r="BI40" s="5">
        <v>115.97</v>
      </c>
      <c r="BJ40" s="5"/>
      <c r="BK40" s="5"/>
      <c r="BL40" s="5"/>
      <c r="BM40" s="5"/>
      <c r="BN40" s="5"/>
      <c r="BO40" s="5">
        <v>115.98</v>
      </c>
      <c r="BP40" s="5">
        <v>115.96</v>
      </c>
      <c r="BQ40" s="5">
        <v>115.98</v>
      </c>
      <c r="BR40" s="5">
        <v>115.99</v>
      </c>
      <c r="BS40" s="5">
        <v>115.97</v>
      </c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>
        <v>115.98</v>
      </c>
      <c r="CJ40" s="5">
        <v>115.97</v>
      </c>
      <c r="CK40" s="5">
        <v>115.95</v>
      </c>
      <c r="CL40" s="5">
        <v>115.97</v>
      </c>
      <c r="CM40" s="5">
        <v>115.98</v>
      </c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>
        <v>115.97</v>
      </c>
      <c r="DI40" s="5">
        <v>115.93</v>
      </c>
      <c r="DJ40" s="5">
        <v>115.92</v>
      </c>
      <c r="DK40" s="5">
        <v>115.95</v>
      </c>
      <c r="DL40" s="5">
        <v>115.95</v>
      </c>
      <c r="DM40" s="5">
        <v>115.93</v>
      </c>
      <c r="DN40" s="5">
        <v>115.97</v>
      </c>
      <c r="DO40" s="5">
        <v>115.96</v>
      </c>
      <c r="DP40" s="5">
        <v>115.93</v>
      </c>
      <c r="DQ40" s="5">
        <v>115.96</v>
      </c>
      <c r="DR40" s="5">
        <v>115.98</v>
      </c>
      <c r="DS40" s="5">
        <v>115.97</v>
      </c>
      <c r="DT40" s="5">
        <v>116</v>
      </c>
      <c r="DU40" s="5">
        <v>115.95</v>
      </c>
      <c r="DV40" s="5">
        <v>115.94</v>
      </c>
      <c r="DW40" s="5">
        <v>115.96</v>
      </c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>
        <v>115.96</v>
      </c>
      <c r="HM40" s="5">
        <v>115.94</v>
      </c>
      <c r="HN40" s="5">
        <v>115.98</v>
      </c>
      <c r="HO40" s="5">
        <v>116</v>
      </c>
      <c r="HP40" s="5">
        <v>115.93</v>
      </c>
      <c r="HQ40" s="13">
        <v>115.98</v>
      </c>
      <c r="HR40" s="14">
        <v>116</v>
      </c>
      <c r="HS40" s="14">
        <v>115.95</v>
      </c>
      <c r="HT40" s="14">
        <v>115.97</v>
      </c>
      <c r="HU40" s="14"/>
      <c r="HV40" s="14"/>
      <c r="HW40" s="14"/>
      <c r="HX40" s="14"/>
      <c r="HY40" s="14"/>
      <c r="HZ40" s="14"/>
      <c r="IA40" s="14"/>
      <c r="IB40" s="11"/>
      <c r="IC40" s="11"/>
      <c r="ID40" s="11"/>
      <c r="IE40" s="11"/>
      <c r="IF40" s="11"/>
      <c r="IG40" s="11"/>
      <c r="IH40" s="11"/>
      <c r="II40" s="11"/>
      <c r="IJ40" s="11"/>
      <c r="IK40" s="11"/>
      <c r="IL40" s="14"/>
      <c r="IM40" s="14"/>
      <c r="IN40" s="14"/>
      <c r="IO40" s="14"/>
      <c r="IP40" s="14"/>
      <c r="IQ40" s="14"/>
      <c r="IR40" s="14"/>
      <c r="IS40" s="14"/>
      <c r="IT40" s="14"/>
      <c r="IU40" s="14"/>
      <c r="IV40" s="14"/>
      <c r="IW40" s="14"/>
      <c r="IX40" s="14"/>
      <c r="IY40" s="14"/>
      <c r="IZ40" s="14"/>
      <c r="JA40" s="14">
        <v>115.95</v>
      </c>
      <c r="JB40" s="14">
        <v>115.97</v>
      </c>
      <c r="JC40" s="14">
        <v>116.01</v>
      </c>
      <c r="JD40" s="14">
        <v>115.92</v>
      </c>
      <c r="JE40" s="14">
        <v>115.95</v>
      </c>
      <c r="JF40" s="14"/>
      <c r="JG40" s="14"/>
      <c r="JH40" s="14"/>
      <c r="JI40" s="14"/>
      <c r="JJ40" s="14"/>
      <c r="JK40" s="14">
        <v>115.96</v>
      </c>
      <c r="JL40" s="14">
        <v>115.92</v>
      </c>
      <c r="JM40" s="14">
        <v>115.99</v>
      </c>
      <c r="JN40" s="14">
        <v>115.96</v>
      </c>
      <c r="JO40" s="14">
        <v>115.96</v>
      </c>
      <c r="JP40" s="14"/>
      <c r="JQ40" s="14"/>
      <c r="JR40" s="14"/>
      <c r="JS40" s="14"/>
      <c r="JT40" s="14"/>
      <c r="JU40" s="14">
        <v>115.94</v>
      </c>
      <c r="JV40" s="14">
        <v>115.96</v>
      </c>
      <c r="JW40" s="14">
        <v>115.94</v>
      </c>
      <c r="JX40" s="14">
        <v>115.98</v>
      </c>
      <c r="JY40" s="14">
        <v>115.97</v>
      </c>
      <c r="JZ40" s="14"/>
      <c r="KA40" s="14"/>
      <c r="KB40" s="14"/>
      <c r="KC40" s="14"/>
      <c r="KD40" s="14"/>
      <c r="KE40" s="14">
        <v>115.99</v>
      </c>
      <c r="KF40" s="14">
        <v>115.98</v>
      </c>
      <c r="KG40" s="14">
        <v>115.95</v>
      </c>
      <c r="KH40" s="14">
        <v>115.96</v>
      </c>
      <c r="KI40" s="14">
        <v>115.98</v>
      </c>
      <c r="KJ40" s="14"/>
      <c r="KK40" s="14"/>
      <c r="KL40" s="14"/>
      <c r="KM40" s="14"/>
      <c r="KN40" s="14"/>
      <c r="KO40" s="14"/>
      <c r="KP40" s="14"/>
      <c r="KQ40" s="14"/>
      <c r="KR40" s="14"/>
      <c r="KS40" s="14"/>
      <c r="KT40" s="14"/>
      <c r="KU40" s="14"/>
      <c r="KV40" s="14"/>
      <c r="KW40" s="14"/>
      <c r="KX40" s="14"/>
      <c r="KY40" s="14"/>
      <c r="KZ40" s="14"/>
      <c r="LA40" s="14"/>
      <c r="LB40" s="14"/>
      <c r="LC40" s="14"/>
      <c r="LD40" s="14"/>
      <c r="LE40" s="14"/>
      <c r="LF40" s="14"/>
      <c r="LG40" s="14"/>
      <c r="LH40" s="14"/>
      <c r="LI40" s="14"/>
      <c r="LJ40" s="14"/>
      <c r="LK40" s="14"/>
      <c r="LL40" s="14"/>
      <c r="LM40" s="14"/>
      <c r="LN40" s="22">
        <f t="shared" si="1"/>
        <v>10</v>
      </c>
      <c r="LO40" s="6">
        <f t="shared" si="2"/>
        <v>27.242899999999999</v>
      </c>
      <c r="LP40" s="21">
        <f t="shared" si="3"/>
        <v>8.5381153846866216</v>
      </c>
      <c r="LQ40" s="7">
        <f t="shared" si="4"/>
        <v>3.1232497413301714E-4</v>
      </c>
      <c r="LR40" s="7">
        <f t="shared" si="5"/>
        <v>0.10576494842795787</v>
      </c>
      <c r="LS40" s="7">
        <f t="shared" si="8"/>
        <v>-0.10514029847969185</v>
      </c>
      <c r="LT40" s="7">
        <f t="shared" si="7"/>
        <v>-0.10514029847969185</v>
      </c>
    </row>
    <row r="41" spans="1:332">
      <c r="A41" s="21" t="s">
        <v>48</v>
      </c>
      <c r="B41" s="21" t="s">
        <v>49</v>
      </c>
      <c r="C41" s="9" t="s">
        <v>50</v>
      </c>
      <c r="D41" s="21" t="s">
        <v>51</v>
      </c>
      <c r="E41" s="5">
        <v>29.952000000000002</v>
      </c>
      <c r="F41" s="5">
        <v>29.936</v>
      </c>
      <c r="G41" s="5">
        <f t="shared" si="0"/>
        <v>29.944000000000003</v>
      </c>
      <c r="H41" s="7"/>
      <c r="I41" s="7"/>
      <c r="J41" s="7"/>
      <c r="K41" s="7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>
        <v>29.946000000000002</v>
      </c>
      <c r="BP41" s="5">
        <v>29.948</v>
      </c>
      <c r="BQ41" s="5">
        <v>29.952000000000002</v>
      </c>
      <c r="BR41" s="5">
        <v>29.95</v>
      </c>
      <c r="BS41" s="5">
        <v>29.945</v>
      </c>
      <c r="BT41" s="5">
        <v>29.943999999999999</v>
      </c>
      <c r="BU41" s="5">
        <v>29.943000000000001</v>
      </c>
      <c r="BV41" s="5">
        <v>29.943999999999999</v>
      </c>
      <c r="BW41" s="5">
        <v>29.945</v>
      </c>
      <c r="BX41" s="5">
        <v>29.943999999999999</v>
      </c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>
        <v>29.946000000000002</v>
      </c>
      <c r="DI41" s="5">
        <v>29.946000000000002</v>
      </c>
      <c r="DJ41" s="5">
        <v>29.948</v>
      </c>
      <c r="DK41" s="5">
        <v>29.946999999999999</v>
      </c>
      <c r="DL41" s="5">
        <v>29.945</v>
      </c>
      <c r="DM41" s="5"/>
      <c r="DN41" s="5"/>
      <c r="DO41" s="5"/>
      <c r="DP41" s="5"/>
      <c r="DQ41" s="5"/>
      <c r="DR41" s="5">
        <v>29.943000000000001</v>
      </c>
      <c r="DS41" s="5">
        <v>29.942</v>
      </c>
      <c r="DT41" s="5">
        <v>29.943999999999999</v>
      </c>
      <c r="DU41" s="5">
        <v>29.948</v>
      </c>
      <c r="DV41" s="5">
        <v>29.95</v>
      </c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13"/>
      <c r="HR41" s="14"/>
      <c r="HS41" s="14"/>
      <c r="HT41" s="14"/>
      <c r="HU41" s="14"/>
      <c r="HV41" s="14"/>
      <c r="HW41" s="14"/>
      <c r="HX41" s="14"/>
      <c r="HY41" s="14"/>
      <c r="HZ41" s="14"/>
      <c r="IA41" s="14"/>
      <c r="IB41" s="11"/>
      <c r="IC41" s="11"/>
      <c r="ID41" s="11"/>
      <c r="IE41" s="11"/>
      <c r="IF41" s="11"/>
      <c r="IG41" s="11"/>
      <c r="IH41" s="11"/>
      <c r="II41" s="11"/>
      <c r="IJ41" s="11"/>
      <c r="IK41" s="11"/>
      <c r="IL41" s="14"/>
      <c r="IM41" s="14"/>
      <c r="IN41" s="14"/>
      <c r="IO41" s="14"/>
      <c r="IP41" s="14"/>
      <c r="IQ41" s="14"/>
      <c r="IR41" s="14"/>
      <c r="IS41" s="14"/>
      <c r="IT41" s="14"/>
      <c r="IU41" s="14"/>
      <c r="IV41" s="14"/>
      <c r="IW41" s="14"/>
      <c r="IX41" s="14"/>
      <c r="IY41" s="14"/>
      <c r="IZ41" s="14"/>
      <c r="JA41" s="14"/>
      <c r="JB41" s="14"/>
      <c r="JC41" s="14"/>
      <c r="JD41" s="14"/>
      <c r="JE41" s="14"/>
      <c r="JF41" s="14"/>
      <c r="JG41" s="14"/>
      <c r="JH41" s="14"/>
      <c r="JI41" s="14"/>
      <c r="JJ41" s="14"/>
      <c r="JK41" s="14"/>
      <c r="JL41" s="14"/>
      <c r="JM41" s="14"/>
      <c r="JN41" s="14"/>
      <c r="JO41" s="14"/>
      <c r="JP41" s="14"/>
      <c r="JQ41" s="14"/>
      <c r="JR41" s="14"/>
      <c r="JS41" s="14"/>
      <c r="JT41" s="14"/>
      <c r="JU41" s="14"/>
      <c r="JV41" s="14"/>
      <c r="JW41" s="14"/>
      <c r="JX41" s="14"/>
      <c r="JY41" s="14"/>
      <c r="JZ41" s="14"/>
      <c r="KA41" s="14"/>
      <c r="KB41" s="14"/>
      <c r="KC41" s="14"/>
      <c r="KD41" s="14"/>
      <c r="KE41" s="14"/>
      <c r="KF41" s="14"/>
      <c r="KG41" s="14"/>
      <c r="KH41" s="14"/>
      <c r="KI41" s="14"/>
      <c r="KJ41" s="14"/>
      <c r="KK41" s="14"/>
      <c r="KL41" s="14"/>
      <c r="KM41" s="14"/>
      <c r="KN41" s="14"/>
      <c r="KO41" s="14"/>
      <c r="KP41" s="14"/>
      <c r="KQ41" s="14"/>
      <c r="KR41" s="14"/>
      <c r="KS41" s="14"/>
      <c r="KT41" s="14"/>
      <c r="KU41" s="14"/>
      <c r="KV41" s="14"/>
      <c r="KW41" s="14"/>
      <c r="KX41" s="14"/>
      <c r="KY41" s="14"/>
      <c r="KZ41" s="14"/>
      <c r="LA41" s="14"/>
      <c r="LB41" s="14"/>
      <c r="LC41" s="14"/>
      <c r="LD41" s="14"/>
      <c r="LE41" s="14"/>
      <c r="LF41" s="14"/>
      <c r="LG41" s="14"/>
      <c r="LH41" s="14"/>
      <c r="LI41" s="14"/>
      <c r="LJ41" s="14"/>
      <c r="LK41" s="14"/>
      <c r="LL41" s="14"/>
      <c r="LM41" s="14"/>
      <c r="LN41" s="22">
        <f t="shared" si="1"/>
        <v>30</v>
      </c>
      <c r="LO41" s="6">
        <f t="shared" si="2"/>
        <v>98.900666666666666</v>
      </c>
      <c r="LP41" s="21">
        <f t="shared" si="3"/>
        <v>16.613646761402123</v>
      </c>
      <c r="LQ41" s="7">
        <f t="shared" si="4"/>
        <v>3.6114888477945781E-4</v>
      </c>
      <c r="LR41" s="7">
        <f t="shared" si="5"/>
        <v>6.1462189835612788E-2</v>
      </c>
      <c r="LS41" s="7">
        <f t="shared" si="8"/>
        <v>-6.0739892066053874E-2</v>
      </c>
      <c r="LT41" s="7">
        <f t="shared" si="7"/>
        <v>-6.0739892066053874E-2</v>
      </c>
    </row>
    <row r="42" spans="1:332">
      <c r="A42" s="21" t="s">
        <v>48</v>
      </c>
      <c r="B42" s="21" t="s">
        <v>49</v>
      </c>
      <c r="C42" s="9" t="s">
        <v>50</v>
      </c>
      <c r="D42" s="21" t="s">
        <v>52</v>
      </c>
      <c r="E42" s="5">
        <v>29.952000000000002</v>
      </c>
      <c r="F42" s="5">
        <v>29.936</v>
      </c>
      <c r="G42" s="5">
        <f t="shared" si="0"/>
        <v>29.944000000000003</v>
      </c>
      <c r="H42" s="7"/>
      <c r="I42" s="7"/>
      <c r="J42" s="7"/>
      <c r="K42" s="7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>
        <v>29.937999999999999</v>
      </c>
      <c r="BP42" s="5">
        <v>29.94</v>
      </c>
      <c r="BQ42" s="5">
        <v>29.937000000000001</v>
      </c>
      <c r="BR42" s="5">
        <v>29.940999999999999</v>
      </c>
      <c r="BS42" s="5">
        <v>2.9430000000000001</v>
      </c>
      <c r="BT42" s="5">
        <v>29.946000000000002</v>
      </c>
      <c r="BU42" s="5">
        <v>29.948</v>
      </c>
      <c r="BV42" s="5">
        <v>29.945</v>
      </c>
      <c r="BW42" s="5">
        <v>29.943999999999999</v>
      </c>
      <c r="BX42" s="5">
        <v>29.946999999999999</v>
      </c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>
        <v>29.940999999999999</v>
      </c>
      <c r="DI42" s="5">
        <v>29.943000000000001</v>
      </c>
      <c r="DJ42" s="5">
        <v>29.94</v>
      </c>
      <c r="DK42" s="5">
        <v>29.943999999999999</v>
      </c>
      <c r="DL42" s="5">
        <v>29.940999999999999</v>
      </c>
      <c r="DM42" s="5"/>
      <c r="DN42" s="5"/>
      <c r="DO42" s="5"/>
      <c r="DP42" s="5"/>
      <c r="DQ42" s="5"/>
      <c r="DR42" s="5">
        <v>29.945</v>
      </c>
      <c r="DS42" s="5">
        <v>29.943000000000001</v>
      </c>
      <c r="DT42" s="5">
        <v>29.949000000000002</v>
      </c>
      <c r="DU42" s="5">
        <v>29.942</v>
      </c>
      <c r="DV42" s="5">
        <v>29.937999999999999</v>
      </c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13"/>
      <c r="HR42" s="14"/>
      <c r="HS42" s="14"/>
      <c r="HT42" s="14"/>
      <c r="HU42" s="14"/>
      <c r="HV42" s="14"/>
      <c r="HW42" s="14"/>
      <c r="HX42" s="14"/>
      <c r="HY42" s="14"/>
      <c r="HZ42" s="14"/>
      <c r="IA42" s="14"/>
      <c r="IB42" s="11"/>
      <c r="IC42" s="11"/>
      <c r="ID42" s="11"/>
      <c r="IE42" s="11"/>
      <c r="IF42" s="11"/>
      <c r="IG42" s="11"/>
      <c r="IH42" s="11"/>
      <c r="II42" s="11"/>
      <c r="IJ42" s="11"/>
      <c r="IK42" s="11"/>
      <c r="IL42" s="14"/>
      <c r="IM42" s="14"/>
      <c r="IN42" s="14"/>
      <c r="IO42" s="14"/>
      <c r="IP42" s="14"/>
      <c r="IQ42" s="14"/>
      <c r="IR42" s="14"/>
      <c r="IS42" s="14"/>
      <c r="IT42" s="14"/>
      <c r="IU42" s="14"/>
      <c r="IV42" s="14"/>
      <c r="IW42" s="14"/>
      <c r="IX42" s="14"/>
      <c r="IY42" s="14"/>
      <c r="IZ42" s="14"/>
      <c r="JA42" s="14"/>
      <c r="JB42" s="14"/>
      <c r="JC42" s="14"/>
      <c r="JD42" s="14"/>
      <c r="JE42" s="14"/>
      <c r="JF42" s="14"/>
      <c r="JG42" s="14"/>
      <c r="JH42" s="14"/>
      <c r="JI42" s="14"/>
      <c r="JJ42" s="14"/>
      <c r="JK42" s="14"/>
      <c r="JL42" s="14"/>
      <c r="JM42" s="14"/>
      <c r="JN42" s="14"/>
      <c r="JO42" s="14"/>
      <c r="JP42" s="14"/>
      <c r="JQ42" s="14"/>
      <c r="JR42" s="14"/>
      <c r="JS42" s="14"/>
      <c r="JT42" s="14"/>
      <c r="JU42" s="14"/>
      <c r="JV42" s="14"/>
      <c r="JW42" s="14"/>
      <c r="JX42" s="14"/>
      <c r="JY42" s="14"/>
      <c r="JZ42" s="14"/>
      <c r="KA42" s="14"/>
      <c r="KB42" s="14"/>
      <c r="KC42" s="14"/>
      <c r="KD42" s="14"/>
      <c r="KE42" s="14"/>
      <c r="KF42" s="14"/>
      <c r="KG42" s="14"/>
      <c r="KH42" s="14"/>
      <c r="KI42" s="14"/>
      <c r="KJ42" s="14"/>
      <c r="KK42" s="14"/>
      <c r="KL42" s="14"/>
      <c r="KM42" s="14"/>
      <c r="KN42" s="14"/>
      <c r="KO42" s="14"/>
      <c r="KP42" s="14"/>
      <c r="KQ42" s="14"/>
      <c r="KR42" s="14"/>
      <c r="KS42" s="14"/>
      <c r="KT42" s="14"/>
      <c r="KU42" s="14"/>
      <c r="KV42" s="14"/>
      <c r="KW42" s="14"/>
      <c r="KX42" s="14"/>
      <c r="KY42" s="14"/>
      <c r="KZ42" s="14"/>
      <c r="LA42" s="14"/>
      <c r="LB42" s="14"/>
      <c r="LC42" s="14"/>
      <c r="LD42" s="14"/>
      <c r="LE42" s="14"/>
      <c r="LF42" s="14"/>
      <c r="LG42" s="14"/>
      <c r="LH42" s="14"/>
      <c r="LI42" s="14"/>
      <c r="LJ42" s="14"/>
      <c r="LK42" s="14"/>
      <c r="LL42" s="14"/>
      <c r="LM42" s="14"/>
      <c r="LN42" s="22">
        <f t="shared" si="1"/>
        <v>30</v>
      </c>
      <c r="LO42" s="6">
        <f t="shared" si="2"/>
        <v>36.463200000000001</v>
      </c>
      <c r="LP42" s="21">
        <f t="shared" si="3"/>
        <v>5.886278608939961E-3</v>
      </c>
      <c r="LQ42" s="7">
        <f t="shared" si="4"/>
        <v>0.70786093276967577</v>
      </c>
      <c r="LR42" s="7">
        <f t="shared" si="5"/>
        <v>0.61159184591281635</v>
      </c>
      <c r="LS42" s="7">
        <f t="shared" si="8"/>
        <v>0.80413001962653519</v>
      </c>
      <c r="LT42" s="7">
        <f t="shared" si="7"/>
        <v>0.61159184591281635</v>
      </c>
    </row>
    <row r="43" spans="1:332">
      <c r="A43" s="21" t="s">
        <v>48</v>
      </c>
      <c r="B43" s="21" t="s">
        <v>53</v>
      </c>
      <c r="C43" s="21" t="s">
        <v>54</v>
      </c>
      <c r="D43" s="21" t="s">
        <v>55</v>
      </c>
      <c r="E43" s="5">
        <v>101.964</v>
      </c>
      <c r="F43" s="5">
        <v>101.928</v>
      </c>
      <c r="G43" s="5">
        <f t="shared" si="0"/>
        <v>101.946</v>
      </c>
      <c r="H43" s="7"/>
      <c r="I43" s="7"/>
      <c r="J43" s="7"/>
      <c r="K43" s="7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>
        <v>101.944</v>
      </c>
      <c r="AG43" s="5">
        <v>101.94799999999999</v>
      </c>
      <c r="AH43" s="5">
        <v>101.952</v>
      </c>
      <c r="AI43" s="5">
        <v>101.955</v>
      </c>
      <c r="AJ43" s="5">
        <v>101.95699999999999</v>
      </c>
      <c r="AK43" s="5">
        <v>101.949</v>
      </c>
      <c r="AL43" s="5">
        <v>101.95399999999999</v>
      </c>
      <c r="AM43" s="5">
        <v>101.955</v>
      </c>
      <c r="AN43" s="5">
        <v>101.94799999999999</v>
      </c>
      <c r="AO43" s="5">
        <v>101.56</v>
      </c>
      <c r="AP43" s="5">
        <v>101.93</v>
      </c>
      <c r="AQ43" s="5">
        <v>101.947</v>
      </c>
      <c r="AR43" s="5">
        <v>101.944</v>
      </c>
      <c r="AS43" s="5">
        <v>101.953</v>
      </c>
      <c r="AT43" s="5">
        <v>10.938000000000001</v>
      </c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>
        <v>101.955</v>
      </c>
      <c r="BF43" s="5">
        <v>101.95099999999999</v>
      </c>
      <c r="BG43" s="5">
        <v>101.95699999999999</v>
      </c>
      <c r="BH43" s="5">
        <v>101.946</v>
      </c>
      <c r="BI43" s="5">
        <v>101.949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>
        <v>101.941</v>
      </c>
      <c r="BZ43" s="5">
        <v>101.94199999999999</v>
      </c>
      <c r="CA43" s="5">
        <v>101.94</v>
      </c>
      <c r="CB43" s="5">
        <v>101.94499999999999</v>
      </c>
      <c r="CC43" s="5">
        <v>101.947</v>
      </c>
      <c r="CD43" s="5">
        <v>101.943</v>
      </c>
      <c r="CE43" s="5">
        <v>101.94199999999999</v>
      </c>
      <c r="CF43" s="5">
        <v>101.941</v>
      </c>
      <c r="CG43" s="5">
        <v>101.94199999999999</v>
      </c>
      <c r="CH43" s="5">
        <v>101.94499999999999</v>
      </c>
      <c r="CI43" s="5">
        <v>101.947</v>
      </c>
      <c r="CJ43" s="5">
        <v>101.94499999999999</v>
      </c>
      <c r="CK43" s="5">
        <v>101.93899999999999</v>
      </c>
      <c r="CL43" s="5">
        <v>101.94499999999999</v>
      </c>
      <c r="CM43" s="5">
        <v>101.94199999999999</v>
      </c>
      <c r="CN43" s="5">
        <v>101.93899999999999</v>
      </c>
      <c r="CO43" s="5">
        <v>101.941</v>
      </c>
      <c r="CP43" s="5">
        <v>101.94</v>
      </c>
      <c r="CQ43" s="5">
        <v>101.938</v>
      </c>
      <c r="CR43" s="5">
        <v>101.94199999999999</v>
      </c>
      <c r="CS43" s="5"/>
      <c r="CT43" s="5"/>
      <c r="CU43" s="5"/>
      <c r="CV43" s="5"/>
      <c r="CW43" s="5"/>
      <c r="CX43" s="5">
        <v>101.952</v>
      </c>
      <c r="CY43" s="5">
        <v>101.955</v>
      </c>
      <c r="CZ43" s="5">
        <v>101.959</v>
      </c>
      <c r="DA43" s="5">
        <v>101.95399999999999</v>
      </c>
      <c r="DB43" s="5">
        <v>101.94</v>
      </c>
      <c r="DC43" s="5">
        <v>101.959</v>
      </c>
      <c r="DD43" s="5">
        <v>101.949</v>
      </c>
      <c r="DE43" s="5">
        <v>101.947</v>
      </c>
      <c r="DF43" s="5">
        <v>101.947</v>
      </c>
      <c r="DG43" s="5">
        <v>101.947</v>
      </c>
      <c r="DH43" s="5">
        <v>101.959</v>
      </c>
      <c r="DI43" s="5">
        <v>101.964</v>
      </c>
      <c r="DJ43" s="5">
        <v>101.96299999999999</v>
      </c>
      <c r="DK43" s="5">
        <v>101.96</v>
      </c>
      <c r="DL43" s="5">
        <v>101.962</v>
      </c>
      <c r="DM43" s="5">
        <v>101.941</v>
      </c>
      <c r="DN43" s="5">
        <v>101.946</v>
      </c>
      <c r="DO43" s="5">
        <v>101.94499999999999</v>
      </c>
      <c r="DP43" s="5">
        <v>101.946</v>
      </c>
      <c r="DQ43" s="5">
        <v>101.94</v>
      </c>
      <c r="DR43" s="5">
        <v>101.95699999999999</v>
      </c>
      <c r="DS43" s="5">
        <v>101.952</v>
      </c>
      <c r="DT43" s="5">
        <v>101.94799999999999</v>
      </c>
      <c r="DU43" s="5">
        <v>101.937</v>
      </c>
      <c r="DV43" s="5">
        <v>101.95</v>
      </c>
      <c r="DW43" s="5">
        <v>101.95</v>
      </c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>
        <v>101.946</v>
      </c>
      <c r="HM43" s="5">
        <v>101.956</v>
      </c>
      <c r="HN43" s="5">
        <v>101.949</v>
      </c>
      <c r="HO43" s="5">
        <v>101.947</v>
      </c>
      <c r="HP43" s="5">
        <v>101.93600000000001</v>
      </c>
      <c r="HQ43" s="13">
        <v>101.941</v>
      </c>
      <c r="HR43" s="14">
        <v>101.938</v>
      </c>
      <c r="HS43" s="14">
        <v>101.94199999999999</v>
      </c>
      <c r="HT43" s="14">
        <v>101.938</v>
      </c>
      <c r="HU43" s="14"/>
      <c r="HV43" s="14"/>
      <c r="HW43" s="14"/>
      <c r="HX43" s="14"/>
      <c r="HY43" s="14"/>
      <c r="HZ43" s="14"/>
      <c r="IA43" s="14"/>
      <c r="IB43" s="11"/>
      <c r="IC43" s="11"/>
      <c r="ID43" s="11"/>
      <c r="IE43" s="11"/>
      <c r="IF43" s="11"/>
      <c r="IG43" s="11"/>
      <c r="IH43" s="11"/>
      <c r="II43" s="11"/>
      <c r="IJ43" s="11"/>
      <c r="IK43" s="11"/>
      <c r="IL43" s="14">
        <v>101.946</v>
      </c>
      <c r="IM43" s="14">
        <v>101.93</v>
      </c>
      <c r="IN43" s="14">
        <v>101.937</v>
      </c>
      <c r="IO43" s="14">
        <v>101.93300000000001</v>
      </c>
      <c r="IP43" s="14">
        <v>101.962</v>
      </c>
      <c r="IQ43" s="14">
        <v>101.947</v>
      </c>
      <c r="IR43" s="14">
        <v>101.94</v>
      </c>
      <c r="IS43" s="14">
        <v>101.952</v>
      </c>
      <c r="IT43" s="14">
        <v>101.941</v>
      </c>
      <c r="IU43" s="14">
        <v>101.947</v>
      </c>
      <c r="IV43" s="14">
        <v>101.947</v>
      </c>
      <c r="IW43" s="14">
        <v>101.935</v>
      </c>
      <c r="IX43" s="14">
        <v>101.94199999999999</v>
      </c>
      <c r="IY43" s="14">
        <v>101.937</v>
      </c>
      <c r="IZ43" s="14">
        <v>101.949</v>
      </c>
      <c r="JA43" s="14">
        <v>101.947</v>
      </c>
      <c r="JB43" s="14">
        <v>101.953</v>
      </c>
      <c r="JC43" s="14">
        <v>101.949</v>
      </c>
      <c r="JD43" s="14">
        <v>101.95</v>
      </c>
      <c r="JE43" s="14">
        <v>101.95099999999999</v>
      </c>
      <c r="JF43" s="14">
        <v>101.943</v>
      </c>
      <c r="JG43" s="14">
        <v>101.941</v>
      </c>
      <c r="JH43" s="14">
        <v>101.938</v>
      </c>
      <c r="JI43" s="14">
        <v>101.943</v>
      </c>
      <c r="JJ43" s="14">
        <v>101.94</v>
      </c>
      <c r="JK43" s="14">
        <v>101.947</v>
      </c>
      <c r="JL43" s="14">
        <v>101.946</v>
      </c>
      <c r="JM43" s="14">
        <v>101.94799999999999</v>
      </c>
      <c r="JN43" s="14">
        <v>101.94499999999999</v>
      </c>
      <c r="JO43" s="14">
        <v>101.943</v>
      </c>
      <c r="JP43" s="14">
        <v>101.947</v>
      </c>
      <c r="JQ43" s="14">
        <v>101.955</v>
      </c>
      <c r="JR43" s="14">
        <v>101.95399999999999</v>
      </c>
      <c r="JS43" s="14">
        <v>101.956</v>
      </c>
      <c r="JT43" s="14">
        <v>101.953</v>
      </c>
      <c r="JU43" s="14">
        <v>101.947</v>
      </c>
      <c r="JV43" s="14">
        <v>101.949</v>
      </c>
      <c r="JW43" s="14">
        <v>101.94799999999999</v>
      </c>
      <c r="JX43" s="14">
        <v>101.95</v>
      </c>
      <c r="JY43" s="14">
        <v>101.949</v>
      </c>
      <c r="JZ43" s="14">
        <v>101.952</v>
      </c>
      <c r="KA43" s="14">
        <v>101.95</v>
      </c>
      <c r="KB43" s="14">
        <v>101.953</v>
      </c>
      <c r="KC43" s="14">
        <v>101.95099999999999</v>
      </c>
      <c r="KD43" s="14">
        <v>101.95399999999999</v>
      </c>
      <c r="KE43" s="14">
        <v>101.944</v>
      </c>
      <c r="KF43" s="14">
        <v>101.94499999999999</v>
      </c>
      <c r="KG43" s="14">
        <v>101.94799999999999</v>
      </c>
      <c r="KH43" s="14">
        <v>101.947</v>
      </c>
      <c r="KI43" s="14">
        <v>101.94499999999999</v>
      </c>
      <c r="KJ43" s="14">
        <v>101.955</v>
      </c>
      <c r="KK43" s="14">
        <v>101.95</v>
      </c>
      <c r="KL43" s="14">
        <v>101.953</v>
      </c>
      <c r="KM43" s="14">
        <v>101.959</v>
      </c>
      <c r="KN43" s="14">
        <v>101.95699999999999</v>
      </c>
      <c r="KO43" s="14">
        <v>101.95399999999999</v>
      </c>
      <c r="KP43" s="14">
        <v>101.95099999999999</v>
      </c>
      <c r="KQ43" s="14">
        <v>101.959</v>
      </c>
      <c r="KR43" s="14">
        <v>101.953</v>
      </c>
      <c r="KS43" s="14">
        <v>101.955</v>
      </c>
      <c r="KT43" s="14"/>
      <c r="KU43" s="14"/>
      <c r="KV43" s="14"/>
      <c r="KW43" s="14"/>
      <c r="KX43" s="14"/>
      <c r="KY43" s="14"/>
      <c r="KZ43" s="14"/>
      <c r="LA43" s="14"/>
      <c r="LB43" s="14"/>
      <c r="LC43" s="14"/>
      <c r="LD43" s="14"/>
      <c r="LE43" s="14"/>
      <c r="LF43" s="14"/>
      <c r="LG43" s="14"/>
      <c r="LH43" s="14"/>
      <c r="LI43" s="14"/>
      <c r="LJ43" s="14"/>
      <c r="LK43" s="14"/>
      <c r="LL43" s="14"/>
      <c r="LM43" s="14"/>
      <c r="LN43" s="22">
        <f t="shared" si="1"/>
        <v>25</v>
      </c>
      <c r="LO43" s="6">
        <f t="shared" si="2"/>
        <v>101.93232000000002</v>
      </c>
      <c r="LP43" s="21">
        <f t="shared" si="3"/>
        <v>8.409256804260358E-2</v>
      </c>
      <c r="LQ43" s="7">
        <f t="shared" si="4"/>
        <v>7.1349943754369163E-2</v>
      </c>
      <c r="LR43" s="7">
        <f t="shared" si="5"/>
        <v>0.12557590100760635</v>
      </c>
      <c r="LS43" s="7">
        <f t="shared" si="8"/>
        <v>1.7123986501131967E-2</v>
      </c>
      <c r="LT43" s="7">
        <f>MIN(LR43:LS43)</f>
        <v>1.7123986501131967E-2</v>
      </c>
    </row>
    <row r="44" spans="1:332">
      <c r="A44" s="21" t="s">
        <v>48</v>
      </c>
      <c r="B44" s="21" t="s">
        <v>53</v>
      </c>
      <c r="C44" s="21" t="s">
        <v>54</v>
      </c>
      <c r="D44" s="21" t="s">
        <v>33</v>
      </c>
      <c r="E44" s="5">
        <v>36.473999999999997</v>
      </c>
      <c r="F44" s="5">
        <v>36.448999999999998</v>
      </c>
      <c r="G44" s="5">
        <f t="shared" si="0"/>
        <v>36.461500000000001</v>
      </c>
      <c r="H44" s="7"/>
      <c r="I44" s="7"/>
      <c r="J44" s="7"/>
      <c r="K44" s="7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>
        <v>36.470999999999997</v>
      </c>
      <c r="AG44" s="5">
        <v>36.468000000000004</v>
      </c>
      <c r="AH44" s="5">
        <v>36.472000000000001</v>
      </c>
      <c r="AI44" s="5">
        <v>36.459000000000003</v>
      </c>
      <c r="AJ44" s="5">
        <v>36.463000000000001</v>
      </c>
      <c r="AK44" s="5">
        <v>36.463999999999999</v>
      </c>
      <c r="AL44" s="5">
        <v>36.47</v>
      </c>
      <c r="AM44" s="5">
        <v>36.465000000000003</v>
      </c>
      <c r="AN44" s="5">
        <v>36.466000000000001</v>
      </c>
      <c r="AO44" s="5">
        <v>36.470999999999997</v>
      </c>
      <c r="AP44" s="5">
        <v>36.466999999999999</v>
      </c>
      <c r="AQ44" s="5">
        <v>36.451999999999998</v>
      </c>
      <c r="AR44" s="5">
        <v>36.454999999999998</v>
      </c>
      <c r="AS44" s="5">
        <v>36.456000000000003</v>
      </c>
      <c r="AT44" s="5">
        <v>36.469000000000001</v>
      </c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>
        <v>36.472000000000001</v>
      </c>
      <c r="BF44" s="5">
        <v>36.459000000000003</v>
      </c>
      <c r="BG44" s="5">
        <v>36.465000000000003</v>
      </c>
      <c r="BH44" s="5">
        <v>36.463000000000001</v>
      </c>
      <c r="BI44" s="5">
        <v>36.470999999999997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>
        <v>36.457999999999998</v>
      </c>
      <c r="BZ44" s="5">
        <v>36.459000000000003</v>
      </c>
      <c r="CA44" s="5">
        <v>36.456000000000003</v>
      </c>
      <c r="CB44" s="5">
        <v>36.451999999999998</v>
      </c>
      <c r="CC44" s="5">
        <v>36.46</v>
      </c>
      <c r="CD44" s="5">
        <v>36.463999999999999</v>
      </c>
      <c r="CE44" s="5">
        <v>36.462000000000003</v>
      </c>
      <c r="CF44" s="5">
        <v>36.463000000000001</v>
      </c>
      <c r="CG44" s="5">
        <v>36.465000000000003</v>
      </c>
      <c r="CH44" s="5">
        <v>36.459000000000003</v>
      </c>
      <c r="CI44" s="5">
        <v>36.46</v>
      </c>
      <c r="CJ44" s="5">
        <v>36.463999999999999</v>
      </c>
      <c r="CK44" s="5">
        <v>36.460999999999999</v>
      </c>
      <c r="CL44" s="5">
        <v>36.459000000000003</v>
      </c>
      <c r="CM44" s="5">
        <v>36.46</v>
      </c>
      <c r="CN44" s="5">
        <v>36.472000000000001</v>
      </c>
      <c r="CO44" s="5">
        <v>36.470999999999997</v>
      </c>
      <c r="CP44" s="5">
        <v>36.470999999999997</v>
      </c>
      <c r="CQ44" s="5">
        <v>36.47</v>
      </c>
      <c r="CR44" s="5">
        <v>36.472000000000001</v>
      </c>
      <c r="CS44" s="5"/>
      <c r="CT44" s="5"/>
      <c r="CU44" s="5"/>
      <c r="CV44" s="5"/>
      <c r="CW44" s="5"/>
      <c r="CX44" s="5">
        <v>36.462000000000003</v>
      </c>
      <c r="CY44" s="5">
        <v>36.465000000000003</v>
      </c>
      <c r="CZ44" s="5">
        <v>36.463000000000001</v>
      </c>
      <c r="DA44" s="5">
        <v>36.466999999999999</v>
      </c>
      <c r="DB44" s="5">
        <v>36.47</v>
      </c>
      <c r="DC44" s="5">
        <v>36.470999999999997</v>
      </c>
      <c r="DD44" s="5">
        <v>36.466000000000001</v>
      </c>
      <c r="DE44" s="5">
        <v>36.468000000000004</v>
      </c>
      <c r="DF44" s="5">
        <v>36.468000000000004</v>
      </c>
      <c r="DG44" s="5">
        <v>36.470999999999997</v>
      </c>
      <c r="DH44" s="5">
        <v>36.46</v>
      </c>
      <c r="DI44" s="5">
        <v>36.459000000000003</v>
      </c>
      <c r="DJ44" s="5">
        <v>36.457999999999998</v>
      </c>
      <c r="DK44" s="5">
        <v>36.463000000000001</v>
      </c>
      <c r="DL44" s="5">
        <v>36.460999999999999</v>
      </c>
      <c r="DM44" s="5">
        <v>36.466000000000001</v>
      </c>
      <c r="DN44" s="5">
        <v>36.465000000000003</v>
      </c>
      <c r="DO44" s="5">
        <v>36.468000000000004</v>
      </c>
      <c r="DP44" s="5">
        <v>36.463999999999999</v>
      </c>
      <c r="DQ44" s="5">
        <v>36.463999999999999</v>
      </c>
      <c r="DR44" s="5">
        <v>36.463999999999999</v>
      </c>
      <c r="DS44" s="5">
        <v>36.465000000000003</v>
      </c>
      <c r="DT44" s="5">
        <v>36.466999999999999</v>
      </c>
      <c r="DU44" s="5">
        <v>36.945</v>
      </c>
      <c r="DV44" s="5">
        <v>36.465000000000003</v>
      </c>
      <c r="DW44" s="5">
        <v>36.469000000000001</v>
      </c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>
        <v>36.470999999999997</v>
      </c>
      <c r="HM44" s="5">
        <v>36.463999999999999</v>
      </c>
      <c r="HN44" s="5">
        <v>36.466999999999999</v>
      </c>
      <c r="HO44" s="5">
        <v>36.472000000000001</v>
      </c>
      <c r="HP44" s="5">
        <v>36.453000000000003</v>
      </c>
      <c r="HQ44" s="13">
        <v>36.456000000000003</v>
      </c>
      <c r="HR44" s="14">
        <v>36.460999999999999</v>
      </c>
      <c r="HS44" s="14">
        <v>36.463000000000001</v>
      </c>
      <c r="HT44" s="14">
        <v>36.453000000000003</v>
      </c>
      <c r="HU44" s="14"/>
      <c r="HV44" s="14"/>
      <c r="HW44" s="14"/>
      <c r="HX44" s="14"/>
      <c r="HY44" s="14"/>
      <c r="HZ44" s="14"/>
      <c r="IA44" s="14"/>
      <c r="IB44" s="11"/>
      <c r="IC44" s="11"/>
      <c r="ID44" s="11"/>
      <c r="IE44" s="11"/>
      <c r="IF44" s="11"/>
      <c r="IG44" s="11"/>
      <c r="IH44" s="11"/>
      <c r="II44" s="11"/>
      <c r="IJ44" s="11"/>
      <c r="IK44" s="11"/>
      <c r="IL44" s="14">
        <v>36.456000000000003</v>
      </c>
      <c r="IM44" s="14">
        <v>36.476999999999997</v>
      </c>
      <c r="IN44" s="14">
        <v>36.463000000000001</v>
      </c>
      <c r="IO44" s="14">
        <v>36.484999999999999</v>
      </c>
      <c r="IP44" s="14">
        <v>36.462000000000003</v>
      </c>
      <c r="IQ44" s="14">
        <v>36.46</v>
      </c>
      <c r="IR44" s="14">
        <v>36.463000000000001</v>
      </c>
      <c r="IS44" s="14">
        <v>36.46</v>
      </c>
      <c r="IT44" s="14">
        <v>36.462000000000003</v>
      </c>
      <c r="IU44" s="14">
        <v>36.472000000000001</v>
      </c>
      <c r="IV44" s="14">
        <v>36.459000000000003</v>
      </c>
      <c r="IW44" s="14">
        <v>36.457000000000001</v>
      </c>
      <c r="IX44" s="14">
        <v>36.454999999999998</v>
      </c>
      <c r="IY44" s="14">
        <v>36.465000000000003</v>
      </c>
      <c r="IZ44" s="14">
        <v>36.462000000000003</v>
      </c>
      <c r="JA44" s="14">
        <v>36.453000000000003</v>
      </c>
      <c r="JB44" s="14">
        <v>36.451999999999998</v>
      </c>
      <c r="JC44" s="14">
        <v>36.457999999999998</v>
      </c>
      <c r="JD44" s="14">
        <v>36.463000000000001</v>
      </c>
      <c r="JE44" s="14">
        <v>36.451999999999998</v>
      </c>
      <c r="JF44" s="14">
        <v>36.465000000000003</v>
      </c>
      <c r="JG44" s="14">
        <v>36.466999999999999</v>
      </c>
      <c r="JH44" s="14">
        <v>36.465000000000003</v>
      </c>
      <c r="JI44" s="14">
        <v>36.470999999999997</v>
      </c>
      <c r="JJ44" s="14">
        <v>36.469000000000001</v>
      </c>
      <c r="JK44" s="14">
        <v>36.47</v>
      </c>
      <c r="JL44" s="14">
        <v>36.472000000000001</v>
      </c>
      <c r="JM44" s="14">
        <v>36.469000000000001</v>
      </c>
      <c r="JN44" s="14">
        <v>36.472999999999999</v>
      </c>
      <c r="JO44" s="14">
        <v>36.470999999999997</v>
      </c>
      <c r="JP44" s="14">
        <v>36.465000000000003</v>
      </c>
      <c r="JQ44" s="14">
        <v>36.463999999999999</v>
      </c>
      <c r="JR44" s="14">
        <v>36.463000000000001</v>
      </c>
      <c r="JS44" s="14">
        <v>36.466000000000001</v>
      </c>
      <c r="JT44" s="14">
        <v>36.463000000000001</v>
      </c>
      <c r="JU44" s="14">
        <v>36.463999999999999</v>
      </c>
      <c r="JV44" s="14">
        <v>36.466000000000001</v>
      </c>
      <c r="JW44" s="14">
        <v>36.463000000000001</v>
      </c>
      <c r="JX44" s="14">
        <v>36.465000000000003</v>
      </c>
      <c r="JY44" s="14">
        <v>36.466999999999999</v>
      </c>
      <c r="JZ44" s="14">
        <v>36.454999999999998</v>
      </c>
      <c r="KA44" s="14">
        <v>36.457999999999998</v>
      </c>
      <c r="KB44" s="14">
        <v>36.456000000000003</v>
      </c>
      <c r="KC44" s="14">
        <v>36.46</v>
      </c>
      <c r="KD44" s="14">
        <v>36.460999999999999</v>
      </c>
      <c r="KE44" s="14">
        <v>36.466000000000001</v>
      </c>
      <c r="KF44" s="14">
        <v>36.466999999999999</v>
      </c>
      <c r="KG44" s="14">
        <v>36.465000000000003</v>
      </c>
      <c r="KH44" s="14">
        <v>36.463000000000001</v>
      </c>
      <c r="KI44" s="14">
        <v>36.463999999999999</v>
      </c>
      <c r="KJ44" s="14">
        <v>36.466999999999999</v>
      </c>
      <c r="KK44" s="14">
        <v>36.465000000000003</v>
      </c>
      <c r="KL44" s="14">
        <v>36.469000000000001</v>
      </c>
      <c r="KM44" s="14">
        <v>36.463999999999999</v>
      </c>
      <c r="KN44" s="14">
        <v>36.46</v>
      </c>
      <c r="KO44" s="14">
        <v>36.46</v>
      </c>
      <c r="KP44" s="14">
        <v>36.457000000000001</v>
      </c>
      <c r="KQ44" s="14">
        <v>36.459000000000003</v>
      </c>
      <c r="KR44" s="14">
        <v>36.457999999999998</v>
      </c>
      <c r="KS44" s="14">
        <v>36.457000000000001</v>
      </c>
      <c r="KT44" s="14"/>
      <c r="KU44" s="14"/>
      <c r="KV44" s="14"/>
      <c r="KW44" s="14"/>
      <c r="KX44" s="14"/>
      <c r="KY44" s="14"/>
      <c r="KZ44" s="14"/>
      <c r="LA44" s="14"/>
      <c r="LB44" s="14"/>
      <c r="LC44" s="14"/>
      <c r="LD44" s="14"/>
      <c r="LE44" s="14"/>
      <c r="LF44" s="14"/>
      <c r="LG44" s="14"/>
      <c r="LH44" s="14"/>
      <c r="LI44" s="14"/>
      <c r="LJ44" s="14"/>
      <c r="LK44" s="14"/>
      <c r="LL44" s="14"/>
      <c r="LM44" s="14"/>
      <c r="LN44" s="22">
        <f t="shared" si="1"/>
        <v>25</v>
      </c>
      <c r="LO44" s="6">
        <f t="shared" si="2"/>
        <v>36.461840000000002</v>
      </c>
      <c r="LP44" s="21">
        <f t="shared" si="3"/>
        <v>6.0668498140847736E-3</v>
      </c>
      <c r="LQ44" s="7">
        <f t="shared" si="4"/>
        <v>0.68679245314316395</v>
      </c>
      <c r="LR44" s="7">
        <f t="shared" si="5"/>
        <v>0.66811169841740004</v>
      </c>
      <c r="LS44" s="7">
        <f t="shared" si="8"/>
        <v>0.70547320786892787</v>
      </c>
      <c r="LT44" s="7">
        <f>MIN(LR44:LS44)</f>
        <v>0.66811169841740004</v>
      </c>
    </row>
    <row r="45" spans="1:332">
      <c r="A45" s="21" t="s">
        <v>48</v>
      </c>
      <c r="B45" s="21" t="s">
        <v>53</v>
      </c>
      <c r="C45" s="21" t="s">
        <v>56</v>
      </c>
      <c r="D45" s="21" t="s">
        <v>55</v>
      </c>
      <c r="E45" s="5">
        <v>101.964</v>
      </c>
      <c r="F45" s="5">
        <v>101.928</v>
      </c>
      <c r="G45" s="5">
        <f t="shared" si="0"/>
        <v>101.946</v>
      </c>
      <c r="H45" s="7"/>
      <c r="I45" s="7"/>
      <c r="J45" s="7"/>
      <c r="K45" s="7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>
        <v>101.952</v>
      </c>
      <c r="AG45" s="5">
        <v>101.946</v>
      </c>
      <c r="AH45" s="5">
        <v>101.949</v>
      </c>
      <c r="AI45" s="5">
        <v>101.955</v>
      </c>
      <c r="AJ45" s="5">
        <v>101.96</v>
      </c>
      <c r="AK45" s="5">
        <v>101.953</v>
      </c>
      <c r="AL45" s="5">
        <v>101.94499999999999</v>
      </c>
      <c r="AM45" s="5">
        <v>101.944</v>
      </c>
      <c r="AN45" s="5">
        <v>101.95399999999999</v>
      </c>
      <c r="AO45" s="5">
        <v>101.53</v>
      </c>
      <c r="AP45" s="5">
        <v>101.953</v>
      </c>
      <c r="AQ45" s="5">
        <v>101.949</v>
      </c>
      <c r="AR45" s="5">
        <v>101.934</v>
      </c>
      <c r="AS45" s="5">
        <v>101.93899999999999</v>
      </c>
      <c r="AT45" s="5">
        <v>101.959</v>
      </c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101.946</v>
      </c>
      <c r="BF45" s="5">
        <v>101.959</v>
      </c>
      <c r="BG45" s="5">
        <v>101.955</v>
      </c>
      <c r="BH45" s="5">
        <v>101.96</v>
      </c>
      <c r="BI45" s="5">
        <v>101.94799999999999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>
        <v>101.944</v>
      </c>
      <c r="CE45" s="5">
        <v>101.943</v>
      </c>
      <c r="CF45" s="5">
        <v>101.944</v>
      </c>
      <c r="CG45" s="5">
        <v>101.944</v>
      </c>
      <c r="CH45" s="5">
        <v>101.943</v>
      </c>
      <c r="CI45" s="5">
        <v>101.947</v>
      </c>
      <c r="CJ45" s="5">
        <v>101.943</v>
      </c>
      <c r="CK45" s="5">
        <v>101.941</v>
      </c>
      <c r="CL45" s="5">
        <v>101.946</v>
      </c>
      <c r="CM45" s="5">
        <v>101.943</v>
      </c>
      <c r="CN45" s="5">
        <v>101.937</v>
      </c>
      <c r="CO45" s="5">
        <v>101.935</v>
      </c>
      <c r="CP45" s="5">
        <v>101.938</v>
      </c>
      <c r="CQ45" s="5">
        <v>101.93300000000001</v>
      </c>
      <c r="CR45" s="5">
        <v>101.934</v>
      </c>
      <c r="CS45" s="5"/>
      <c r="CT45" s="5"/>
      <c r="CU45" s="5"/>
      <c r="CV45" s="5"/>
      <c r="CW45" s="5"/>
      <c r="CX45" s="5">
        <v>101.953</v>
      </c>
      <c r="CY45" s="5">
        <v>101.958</v>
      </c>
      <c r="CZ45" s="5">
        <v>101.955</v>
      </c>
      <c r="DA45" s="5">
        <v>101.947</v>
      </c>
      <c r="DB45" s="5">
        <v>101.95099999999999</v>
      </c>
      <c r="DC45" s="5">
        <v>101.955</v>
      </c>
      <c r="DD45" s="5">
        <v>101.958</v>
      </c>
      <c r="DE45" s="5">
        <v>101.949</v>
      </c>
      <c r="DF45" s="5">
        <v>101.95</v>
      </c>
      <c r="DG45" s="5">
        <v>101.95399999999999</v>
      </c>
      <c r="DH45" s="5">
        <v>101.943</v>
      </c>
      <c r="DI45" s="5">
        <v>101.947</v>
      </c>
      <c r="DJ45" s="5">
        <v>101.94499999999999</v>
      </c>
      <c r="DK45" s="5">
        <v>101.94499999999999</v>
      </c>
      <c r="DL45" s="5">
        <v>101.95</v>
      </c>
      <c r="DM45" s="5">
        <v>101.944</v>
      </c>
      <c r="DN45" s="5">
        <v>101.944</v>
      </c>
      <c r="DO45" s="5">
        <v>101.947</v>
      </c>
      <c r="DP45" s="5">
        <v>101.94499999999999</v>
      </c>
      <c r="DQ45" s="5">
        <v>101.944</v>
      </c>
      <c r="DR45" s="5">
        <v>101.949</v>
      </c>
      <c r="DS45" s="5">
        <v>101.958</v>
      </c>
      <c r="DT45" s="5">
        <v>101.952</v>
      </c>
      <c r="DU45" s="5">
        <v>101.94799999999999</v>
      </c>
      <c r="DV45" s="5">
        <v>101.93899999999999</v>
      </c>
      <c r="DW45" s="5">
        <v>101.949</v>
      </c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>
        <v>101.956</v>
      </c>
      <c r="HM45" s="5">
        <v>101.95099999999999</v>
      </c>
      <c r="HN45" s="5">
        <v>101.95</v>
      </c>
      <c r="HO45" s="5">
        <v>101.95699999999999</v>
      </c>
      <c r="HP45" s="5">
        <v>101.943</v>
      </c>
      <c r="HQ45" s="13">
        <v>101.94199999999999</v>
      </c>
      <c r="HR45" s="14">
        <v>101.941</v>
      </c>
      <c r="HS45" s="14">
        <v>101.943</v>
      </c>
      <c r="HT45" s="14">
        <v>101.947</v>
      </c>
      <c r="HU45" s="14"/>
      <c r="HV45" s="14"/>
      <c r="HW45" s="14"/>
      <c r="HX45" s="14"/>
      <c r="HY45" s="14"/>
      <c r="HZ45" s="14"/>
      <c r="IA45" s="14"/>
      <c r="IB45" s="11"/>
      <c r="IC45" s="11"/>
      <c r="ID45" s="11"/>
      <c r="IE45" s="11"/>
      <c r="IF45" s="11"/>
      <c r="IG45" s="11"/>
      <c r="IH45" s="11"/>
      <c r="II45" s="11"/>
      <c r="IJ45" s="11"/>
      <c r="IK45" s="11"/>
      <c r="IL45" s="14">
        <v>101.935</v>
      </c>
      <c r="IM45" s="14">
        <v>101.94199999999999</v>
      </c>
      <c r="IN45" s="14">
        <v>101.947</v>
      </c>
      <c r="IO45" s="14">
        <v>101.949</v>
      </c>
      <c r="IP45" s="14">
        <v>101.95</v>
      </c>
      <c r="IQ45" s="14">
        <v>101.93899999999999</v>
      </c>
      <c r="IR45" s="14">
        <v>101.955</v>
      </c>
      <c r="IS45" s="14">
        <v>101.947</v>
      </c>
      <c r="IT45" s="14">
        <v>101.956</v>
      </c>
      <c r="IU45" s="14">
        <v>101.949</v>
      </c>
      <c r="IV45" s="14">
        <v>101.949</v>
      </c>
      <c r="IW45" s="14">
        <v>101.937</v>
      </c>
      <c r="IX45" s="14">
        <v>101.943</v>
      </c>
      <c r="IY45" s="14">
        <v>101.935</v>
      </c>
      <c r="IZ45" s="14">
        <v>101.947</v>
      </c>
      <c r="JA45" s="14">
        <v>101.94799999999999</v>
      </c>
      <c r="JB45" s="14">
        <v>101.944</v>
      </c>
      <c r="JC45" s="14">
        <v>101.943</v>
      </c>
      <c r="JD45" s="14">
        <v>101.947</v>
      </c>
      <c r="JE45" s="14">
        <v>101.94499999999999</v>
      </c>
      <c r="JF45" s="14">
        <v>101.94499999999999</v>
      </c>
      <c r="JG45" s="14">
        <v>101.93899999999999</v>
      </c>
      <c r="JH45" s="14">
        <v>101.938</v>
      </c>
      <c r="JI45" s="14">
        <v>101.944</v>
      </c>
      <c r="JJ45" s="14">
        <v>101.943</v>
      </c>
      <c r="JK45" s="14">
        <v>101.947</v>
      </c>
      <c r="JL45" s="14">
        <v>101.946</v>
      </c>
      <c r="JM45" s="14">
        <v>101.943</v>
      </c>
      <c r="JN45" s="14">
        <v>101.94499999999999</v>
      </c>
      <c r="JO45" s="14">
        <v>101.944</v>
      </c>
      <c r="JP45" s="14">
        <v>101.953</v>
      </c>
      <c r="JQ45" s="14">
        <v>101.956</v>
      </c>
      <c r="JR45" s="14">
        <v>101.955</v>
      </c>
      <c r="JS45" s="14">
        <v>101.95099999999999</v>
      </c>
      <c r="JT45" s="14">
        <v>101.95399999999999</v>
      </c>
      <c r="JU45" s="14">
        <v>101.946</v>
      </c>
      <c r="JV45" s="14">
        <v>101.943</v>
      </c>
      <c r="JW45" s="14">
        <v>101.94499999999999</v>
      </c>
      <c r="JX45" s="14">
        <v>101.947</v>
      </c>
      <c r="JY45" s="14">
        <v>101.94499999999999</v>
      </c>
      <c r="JZ45" s="14">
        <v>101.953</v>
      </c>
      <c r="KA45" s="14">
        <v>101.955</v>
      </c>
      <c r="KB45" s="14">
        <v>101.95399999999999</v>
      </c>
      <c r="KC45" s="14">
        <v>101.95</v>
      </c>
      <c r="KD45" s="14">
        <v>101.95699999999999</v>
      </c>
      <c r="KE45" s="14">
        <v>101.953</v>
      </c>
      <c r="KF45" s="14">
        <v>101.955</v>
      </c>
      <c r="KG45" s="14">
        <v>101.956</v>
      </c>
      <c r="KH45" s="14">
        <v>101.952</v>
      </c>
      <c r="KI45" s="14">
        <v>101.95399999999999</v>
      </c>
      <c r="KJ45" s="14">
        <v>101.96599999999999</v>
      </c>
      <c r="KK45" s="14">
        <v>101.952</v>
      </c>
      <c r="KL45" s="14">
        <v>101.955</v>
      </c>
      <c r="KM45" s="14">
        <v>101.952</v>
      </c>
      <c r="KN45" s="14">
        <v>101.958</v>
      </c>
      <c r="KO45" s="14">
        <v>101.959</v>
      </c>
      <c r="KP45" s="14">
        <v>101.955</v>
      </c>
      <c r="KQ45" s="14">
        <v>101.95399999999999</v>
      </c>
      <c r="KR45" s="14">
        <v>101.95699999999999</v>
      </c>
      <c r="KS45" s="14">
        <v>101.956</v>
      </c>
      <c r="KT45" s="14"/>
      <c r="KU45" s="14"/>
      <c r="KV45" s="14"/>
      <c r="KW45" s="14"/>
      <c r="KX45" s="14"/>
      <c r="KY45" s="14"/>
      <c r="KZ45" s="14"/>
      <c r="LA45" s="14"/>
      <c r="LB45" s="14"/>
      <c r="LC45" s="14"/>
      <c r="LD45" s="14"/>
      <c r="LE45" s="14"/>
      <c r="LF45" s="14"/>
      <c r="LG45" s="14"/>
      <c r="LH45" s="14"/>
      <c r="LI45" s="14"/>
      <c r="LJ45" s="14"/>
      <c r="LK45" s="14"/>
      <c r="LL45" s="14"/>
      <c r="LM45" s="14"/>
      <c r="LN45" s="22">
        <f t="shared" si="1"/>
        <v>20</v>
      </c>
      <c r="LO45" s="6">
        <f t="shared" si="2"/>
        <v>29.955599999999997</v>
      </c>
      <c r="LP45" s="21">
        <f t="shared" si="3"/>
        <v>5.6976449428454441E-3</v>
      </c>
      <c r="LQ45" s="7">
        <f t="shared" si="4"/>
        <v>0.49728148414917839</v>
      </c>
      <c r="LR45" s="7">
        <f t="shared" si="5"/>
        <v>0.54993481776516451</v>
      </c>
      <c r="LS45" s="7">
        <f t="shared" si="8"/>
        <v>0.44462815053319227</v>
      </c>
      <c r="LT45" s="7">
        <f t="shared" si="7"/>
        <v>0.44462815053319227</v>
      </c>
    </row>
    <row r="46" spans="1:332">
      <c r="A46" s="21" t="s">
        <v>48</v>
      </c>
      <c r="B46" s="21" t="s">
        <v>53</v>
      </c>
      <c r="C46" s="21" t="s">
        <v>56</v>
      </c>
      <c r="D46" s="21" t="s">
        <v>33</v>
      </c>
      <c r="E46" s="5">
        <v>36.473999999999997</v>
      </c>
      <c r="F46" s="5">
        <v>36.448999999999998</v>
      </c>
      <c r="G46" s="5">
        <f t="shared" si="0"/>
        <v>36.461500000000001</v>
      </c>
      <c r="H46" s="7"/>
      <c r="I46" s="7"/>
      <c r="J46" s="7"/>
      <c r="K46" s="7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>
        <v>36.457999999999998</v>
      </c>
      <c r="AG46" s="5">
        <v>36.47</v>
      </c>
      <c r="AH46" s="5">
        <v>36.465000000000003</v>
      </c>
      <c r="AI46" s="5">
        <v>36.468000000000004</v>
      </c>
      <c r="AJ46" s="5">
        <v>36.466999999999999</v>
      </c>
      <c r="AK46" s="5">
        <v>36.456000000000003</v>
      </c>
      <c r="AL46" s="5">
        <v>36.453000000000003</v>
      </c>
      <c r="AM46" s="5">
        <v>36.451000000000001</v>
      </c>
      <c r="AN46" s="5">
        <v>36.469000000000001</v>
      </c>
      <c r="AO46" s="5">
        <v>36.457999999999998</v>
      </c>
      <c r="AP46" s="5">
        <v>36.454000000000001</v>
      </c>
      <c r="AQ46" s="5">
        <v>36.459000000000003</v>
      </c>
      <c r="AR46" s="5">
        <v>36.460999999999999</v>
      </c>
      <c r="AS46" s="5">
        <v>36.454999999999998</v>
      </c>
      <c r="AT46" s="5">
        <v>36.469000000000001</v>
      </c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>
        <v>36.456000000000003</v>
      </c>
      <c r="BF46" s="5">
        <v>36.46</v>
      </c>
      <c r="BG46" s="5">
        <v>36.47</v>
      </c>
      <c r="BH46" s="5">
        <v>36.473999999999997</v>
      </c>
      <c r="BI46" s="5">
        <v>36.463999999999999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>
        <v>36.463000000000001</v>
      </c>
      <c r="CE46" s="5">
        <v>36.46</v>
      </c>
      <c r="CF46" s="5">
        <v>36.460999999999999</v>
      </c>
      <c r="CG46" s="5">
        <v>36.463000000000001</v>
      </c>
      <c r="CH46" s="5">
        <v>36.462000000000003</v>
      </c>
      <c r="CI46" s="5">
        <v>36.460999999999999</v>
      </c>
      <c r="CJ46" s="5">
        <v>36.463000000000001</v>
      </c>
      <c r="CK46" s="5">
        <v>36.466000000000001</v>
      </c>
      <c r="CL46" s="5">
        <v>36.462000000000003</v>
      </c>
      <c r="CM46" s="5">
        <v>36.460999999999999</v>
      </c>
      <c r="CN46" s="5">
        <v>36.642000000000003</v>
      </c>
      <c r="CO46" s="5">
        <v>36.463999999999999</v>
      </c>
      <c r="CP46" s="5">
        <v>36.463000000000001</v>
      </c>
      <c r="CQ46" s="5">
        <v>36.646000000000001</v>
      </c>
      <c r="CR46" s="5">
        <v>36.462000000000003</v>
      </c>
      <c r="CS46" s="5"/>
      <c r="CT46" s="5"/>
      <c r="CU46" s="5"/>
      <c r="CV46" s="5"/>
      <c r="CW46" s="5"/>
      <c r="CX46" s="5">
        <v>36.454999999999998</v>
      </c>
      <c r="CY46" s="5">
        <v>36.459000000000003</v>
      </c>
      <c r="CZ46" s="5">
        <v>36.460999999999999</v>
      </c>
      <c r="DA46" s="5">
        <v>36.463000000000001</v>
      </c>
      <c r="DB46" s="5">
        <v>36.457000000000001</v>
      </c>
      <c r="DC46" s="5">
        <v>36.456000000000003</v>
      </c>
      <c r="DD46" s="5">
        <v>36.46</v>
      </c>
      <c r="DE46" s="5">
        <v>36.459000000000003</v>
      </c>
      <c r="DF46" s="5">
        <v>36.457000000000001</v>
      </c>
      <c r="DG46" s="5">
        <v>36.47</v>
      </c>
      <c r="DH46" s="5">
        <v>36.463000000000001</v>
      </c>
      <c r="DI46" s="5">
        <v>36.460999999999999</v>
      </c>
      <c r="DJ46" s="5">
        <v>36.459000000000003</v>
      </c>
      <c r="DK46" s="5">
        <v>36.457000000000001</v>
      </c>
      <c r="DL46" s="5">
        <v>36.463000000000001</v>
      </c>
      <c r="DM46" s="5">
        <v>36.456000000000003</v>
      </c>
      <c r="DN46" s="5">
        <v>36.46</v>
      </c>
      <c r="DO46" s="5">
        <v>36.454999999999998</v>
      </c>
      <c r="DP46" s="5">
        <v>36.457000000000001</v>
      </c>
      <c r="DQ46" s="5">
        <v>36.457999999999998</v>
      </c>
      <c r="DR46" s="5">
        <v>36.466000000000001</v>
      </c>
      <c r="DS46" s="5">
        <v>36.463999999999999</v>
      </c>
      <c r="DT46" s="5">
        <v>36.466000000000001</v>
      </c>
      <c r="DU46" s="5">
        <v>36.463000000000001</v>
      </c>
      <c r="DV46" s="5">
        <v>36.460999999999999</v>
      </c>
      <c r="DW46" s="5">
        <v>36.463000000000001</v>
      </c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>
        <v>36.466000000000001</v>
      </c>
      <c r="HM46" s="5">
        <v>36.460999999999999</v>
      </c>
      <c r="HN46" s="5">
        <v>36.454999999999998</v>
      </c>
      <c r="HO46" s="5">
        <v>36.463999999999999</v>
      </c>
      <c r="HP46" s="5">
        <v>36.953000000000003</v>
      </c>
      <c r="HQ46" s="13">
        <v>36.945399999999999</v>
      </c>
      <c r="HR46" s="14">
        <v>36.460999999999999</v>
      </c>
      <c r="HS46" s="14">
        <v>36.457000000000001</v>
      </c>
      <c r="HT46" s="14">
        <v>36.454999999999998</v>
      </c>
      <c r="HU46" s="14"/>
      <c r="HV46" s="14"/>
      <c r="HW46" s="14"/>
      <c r="HX46" s="14"/>
      <c r="HY46" s="14"/>
      <c r="HZ46" s="14"/>
      <c r="IA46" s="14"/>
      <c r="IB46" s="11"/>
      <c r="IC46" s="11"/>
      <c r="ID46" s="11"/>
      <c r="IE46" s="11"/>
      <c r="IF46" s="11"/>
      <c r="IG46" s="11"/>
      <c r="IH46" s="11"/>
      <c r="II46" s="11"/>
      <c r="IJ46" s="11"/>
      <c r="IK46" s="11"/>
      <c r="IL46" s="14">
        <v>36.456000000000003</v>
      </c>
      <c r="IM46" s="14">
        <v>36.457000000000001</v>
      </c>
      <c r="IN46" s="14">
        <v>36.462000000000003</v>
      </c>
      <c r="IO46" s="14">
        <v>36.460999999999999</v>
      </c>
      <c r="IP46" s="14">
        <v>36.481000000000002</v>
      </c>
      <c r="IQ46" s="14">
        <v>36.460999999999999</v>
      </c>
      <c r="IR46" s="14">
        <v>36.47</v>
      </c>
      <c r="IS46" s="14">
        <v>36.466000000000001</v>
      </c>
      <c r="IT46" s="14">
        <v>36.469000000000001</v>
      </c>
      <c r="IU46" s="14">
        <v>36.468000000000004</v>
      </c>
      <c r="IV46" s="14">
        <v>36.451999999999998</v>
      </c>
      <c r="IW46" s="14">
        <v>36.484999999999999</v>
      </c>
      <c r="IX46" s="14">
        <v>36.493000000000002</v>
      </c>
      <c r="IY46" s="14">
        <v>36.469000000000001</v>
      </c>
      <c r="IZ46" s="14">
        <v>36.459000000000003</v>
      </c>
      <c r="JA46" s="14">
        <v>36.454000000000001</v>
      </c>
      <c r="JB46" s="14">
        <v>36.460999999999999</v>
      </c>
      <c r="JC46" s="14">
        <v>26.457000000000001</v>
      </c>
      <c r="JD46" s="14">
        <v>26.454999999999998</v>
      </c>
      <c r="JE46" s="14">
        <v>36.460999999999999</v>
      </c>
      <c r="JF46" s="14">
        <v>36.463000000000001</v>
      </c>
      <c r="JG46" s="14">
        <v>36.468000000000004</v>
      </c>
      <c r="JH46" s="14">
        <v>36.465000000000003</v>
      </c>
      <c r="JI46" s="14">
        <v>36.466999999999999</v>
      </c>
      <c r="JJ46" s="14">
        <v>36.465000000000003</v>
      </c>
      <c r="JK46" s="14">
        <v>36.466999999999999</v>
      </c>
      <c r="JL46" s="14">
        <v>36.466000000000001</v>
      </c>
      <c r="JM46" s="14">
        <v>36.465000000000003</v>
      </c>
      <c r="JN46" s="14">
        <v>36.468000000000004</v>
      </c>
      <c r="JO46" s="14">
        <v>36.463999999999999</v>
      </c>
      <c r="JP46" s="14">
        <v>36.465000000000003</v>
      </c>
      <c r="JQ46" s="14">
        <v>36.466000000000001</v>
      </c>
      <c r="JR46" s="14">
        <v>36.463000000000001</v>
      </c>
      <c r="JS46" s="14">
        <v>36.463999999999999</v>
      </c>
      <c r="JT46" s="14">
        <v>36.466000000000001</v>
      </c>
      <c r="JU46" s="14">
        <v>36.457999999999998</v>
      </c>
      <c r="JV46" s="14">
        <v>36.459000000000003</v>
      </c>
      <c r="JW46" s="14">
        <v>36.457000000000001</v>
      </c>
      <c r="JX46" s="14">
        <v>36.46</v>
      </c>
      <c r="JY46" s="14">
        <v>36.457999999999998</v>
      </c>
      <c r="JZ46" s="14">
        <v>36.462000000000003</v>
      </c>
      <c r="KA46" s="14">
        <v>36.46</v>
      </c>
      <c r="KB46" s="14">
        <v>36.463000000000001</v>
      </c>
      <c r="KC46" s="14">
        <v>36.460999999999999</v>
      </c>
      <c r="KD46" s="14">
        <v>36.462000000000003</v>
      </c>
      <c r="KE46" s="14">
        <v>36.46</v>
      </c>
      <c r="KF46" s="14">
        <v>36.459000000000003</v>
      </c>
      <c r="KG46" s="14">
        <v>36.463000000000001</v>
      </c>
      <c r="KH46" s="14">
        <v>36.466000000000001</v>
      </c>
      <c r="KI46" s="14">
        <v>36.465000000000003</v>
      </c>
      <c r="KJ46" s="14">
        <v>36.46</v>
      </c>
      <c r="KK46" s="14">
        <v>36.459000000000003</v>
      </c>
      <c r="KL46" s="14">
        <v>36.465000000000003</v>
      </c>
      <c r="KM46" s="14">
        <v>36.462000000000003</v>
      </c>
      <c r="KN46" s="14">
        <v>36.469000000000001</v>
      </c>
      <c r="KO46" s="14">
        <v>36.462000000000003</v>
      </c>
      <c r="KP46" s="14">
        <v>36.46</v>
      </c>
      <c r="KQ46" s="14">
        <v>36.463000000000001</v>
      </c>
      <c r="KR46" s="14">
        <v>36.465000000000003</v>
      </c>
      <c r="KS46" s="14">
        <v>36.46</v>
      </c>
      <c r="KT46" s="14"/>
      <c r="KU46" s="14"/>
      <c r="KV46" s="14"/>
      <c r="KW46" s="14"/>
      <c r="KX46" s="14"/>
      <c r="KY46" s="14"/>
      <c r="KZ46" s="14"/>
      <c r="LA46" s="14"/>
      <c r="LB46" s="14"/>
      <c r="LC46" s="14"/>
      <c r="LD46" s="14"/>
      <c r="LE46" s="14"/>
      <c r="LF46" s="14"/>
      <c r="LG46" s="14"/>
      <c r="LH46" s="14"/>
      <c r="LI46" s="14"/>
      <c r="LJ46" s="14"/>
      <c r="LK46" s="14"/>
      <c r="LL46" s="14"/>
      <c r="LM46" s="14"/>
      <c r="LN46" s="22">
        <f t="shared" si="1"/>
        <v>20</v>
      </c>
      <c r="LO46" s="6">
        <f t="shared" si="2"/>
        <v>29.874999999999993</v>
      </c>
      <c r="LP46" s="21">
        <f t="shared" si="3"/>
        <v>0.21322560328248327</v>
      </c>
      <c r="LQ46" s="7">
        <f t="shared" si="4"/>
        <v>1.5632894371119359E-2</v>
      </c>
      <c r="LR46" s="7">
        <f t="shared" si="5"/>
        <v>0.14851249652564641</v>
      </c>
      <c r="LS46" s="7">
        <f t="shared" si="8"/>
        <v>-0.11724670778340769</v>
      </c>
      <c r="LT46" s="7">
        <f t="shared" si="7"/>
        <v>-0.11724670778340769</v>
      </c>
    </row>
    <row r="47" spans="1:332">
      <c r="A47" s="21" t="s">
        <v>48</v>
      </c>
      <c r="B47" s="21" t="s">
        <v>53</v>
      </c>
      <c r="C47" s="21" t="s">
        <v>57</v>
      </c>
      <c r="D47" s="21" t="s">
        <v>52</v>
      </c>
      <c r="E47" s="5">
        <v>29.965</v>
      </c>
      <c r="F47" s="5">
        <v>29.948</v>
      </c>
      <c r="G47" s="5">
        <f t="shared" si="0"/>
        <v>29.956499999999998</v>
      </c>
      <c r="H47" s="7"/>
      <c r="I47" s="7"/>
      <c r="J47" s="7"/>
      <c r="K47" s="7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>
        <v>29.956</v>
      </c>
      <c r="AL47" s="5">
        <v>29.959</v>
      </c>
      <c r="AM47" s="5">
        <v>29.956</v>
      </c>
      <c r="AN47" s="5">
        <v>29.957999999999998</v>
      </c>
      <c r="AO47" s="5">
        <v>29.957000000000001</v>
      </c>
      <c r="AP47" s="5">
        <v>29.951000000000001</v>
      </c>
      <c r="AQ47" s="5">
        <v>29.963000000000001</v>
      </c>
      <c r="AR47" s="5">
        <v>29.949000000000002</v>
      </c>
      <c r="AS47" s="5">
        <v>29.942</v>
      </c>
      <c r="AT47" s="5">
        <v>29.954999999999998</v>
      </c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>
        <v>29.952999999999999</v>
      </c>
      <c r="BF47" s="5">
        <v>29.949000000000002</v>
      </c>
      <c r="BG47" s="5">
        <v>29.952999999999999</v>
      </c>
      <c r="BH47" s="5">
        <v>29.957999999999998</v>
      </c>
      <c r="BI47" s="5">
        <v>29.948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>
        <v>29.963000000000001</v>
      </c>
      <c r="CE47" s="5">
        <v>29.959</v>
      </c>
      <c r="CF47" s="5">
        <v>29.960999999999999</v>
      </c>
      <c r="CG47" s="5">
        <v>29.963999999999999</v>
      </c>
      <c r="CH47" s="5">
        <v>29.957999999999998</v>
      </c>
      <c r="CI47" s="5">
        <v>29.96</v>
      </c>
      <c r="CJ47" s="5">
        <v>29.957999999999998</v>
      </c>
      <c r="CK47" s="5">
        <v>29.963000000000001</v>
      </c>
      <c r="CL47" s="5">
        <v>29.960999999999999</v>
      </c>
      <c r="CM47" s="5">
        <v>29.956</v>
      </c>
      <c r="CN47" s="5">
        <v>29.954999999999998</v>
      </c>
      <c r="CO47" s="5">
        <v>29.954000000000001</v>
      </c>
      <c r="CP47" s="5">
        <v>29.949000000000002</v>
      </c>
      <c r="CQ47" s="5">
        <v>29.954999999999998</v>
      </c>
      <c r="CR47" s="5">
        <v>29.95</v>
      </c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>
        <v>29.940999999999999</v>
      </c>
      <c r="DI47" s="5">
        <v>29.945</v>
      </c>
      <c r="DJ47" s="5">
        <v>29.946000000000002</v>
      </c>
      <c r="DK47" s="5">
        <v>29.963000000000001</v>
      </c>
      <c r="DL47" s="5">
        <v>29.946000000000002</v>
      </c>
      <c r="DM47" s="5"/>
      <c r="DN47" s="5"/>
      <c r="DO47" s="5"/>
      <c r="DP47" s="5"/>
      <c r="DQ47" s="5"/>
      <c r="DR47" s="5">
        <v>29.952000000000002</v>
      </c>
      <c r="DS47" s="5">
        <v>29.946000000000002</v>
      </c>
      <c r="DT47" s="5">
        <v>29.956</v>
      </c>
      <c r="DU47" s="5">
        <v>29.951000000000001</v>
      </c>
      <c r="DV47" s="5">
        <v>29.954000000000001</v>
      </c>
      <c r="DW47" s="5">
        <v>29.951000000000001</v>
      </c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>
        <v>29.95</v>
      </c>
      <c r="HM47" s="5">
        <v>29.951000000000001</v>
      </c>
      <c r="HN47" s="5">
        <v>29.952999999999999</v>
      </c>
      <c r="HO47" s="5">
        <v>29.95</v>
      </c>
      <c r="HP47" s="5">
        <v>29.952999999999999</v>
      </c>
      <c r="HQ47" s="13">
        <v>29.951000000000001</v>
      </c>
      <c r="HR47" s="14">
        <v>29.952999999999999</v>
      </c>
      <c r="HS47" s="14">
        <v>29.960999999999999</v>
      </c>
      <c r="HT47" s="14">
        <v>29.957999999999998</v>
      </c>
      <c r="HU47" s="14"/>
      <c r="HV47" s="14"/>
      <c r="HW47" s="14"/>
      <c r="HX47" s="14"/>
      <c r="HY47" s="14"/>
      <c r="HZ47" s="14"/>
      <c r="IA47" s="14"/>
      <c r="IB47" s="11"/>
      <c r="IC47" s="11"/>
      <c r="ID47" s="11"/>
      <c r="IE47" s="11"/>
      <c r="IF47" s="11"/>
      <c r="IG47" s="11"/>
      <c r="IH47" s="11"/>
      <c r="II47" s="11"/>
      <c r="IJ47" s="11"/>
      <c r="IK47" s="11"/>
      <c r="IL47" s="14">
        <v>29.954999999999998</v>
      </c>
      <c r="IM47" s="14">
        <v>29.965</v>
      </c>
      <c r="IN47" s="14">
        <v>29.95</v>
      </c>
      <c r="IO47" s="14">
        <v>29.960999999999999</v>
      </c>
      <c r="IP47" s="14">
        <v>29.96</v>
      </c>
      <c r="IQ47" s="14">
        <v>29.59</v>
      </c>
      <c r="IR47" s="14">
        <v>29.960999999999999</v>
      </c>
      <c r="IS47" s="14">
        <v>29.963000000000001</v>
      </c>
      <c r="IT47" s="14">
        <v>29.960999999999999</v>
      </c>
      <c r="IU47" s="14">
        <v>29.943999999999999</v>
      </c>
      <c r="IV47" s="14">
        <v>29.949000000000002</v>
      </c>
      <c r="IW47" s="14">
        <v>29.981999999999999</v>
      </c>
      <c r="IX47" s="14">
        <v>29.95</v>
      </c>
      <c r="IY47" s="14">
        <v>29.962</v>
      </c>
      <c r="IZ47" s="14">
        <v>29.959</v>
      </c>
      <c r="JA47" s="14">
        <v>29.957999999999998</v>
      </c>
      <c r="JB47" s="14">
        <v>29.960999999999999</v>
      </c>
      <c r="JC47" s="14">
        <v>29.96</v>
      </c>
      <c r="JD47" s="14">
        <v>29.957999999999998</v>
      </c>
      <c r="JE47" s="14">
        <v>29.963000000000001</v>
      </c>
      <c r="JF47" s="14">
        <v>29.963000000000001</v>
      </c>
      <c r="JG47" s="14">
        <v>29.960999999999999</v>
      </c>
      <c r="JH47" s="14">
        <v>29.962</v>
      </c>
      <c r="JI47" s="14">
        <v>29.96</v>
      </c>
      <c r="JJ47" s="14">
        <v>29.960999999999999</v>
      </c>
      <c r="JK47" s="14">
        <v>29.959</v>
      </c>
      <c r="JL47" s="14">
        <v>29.96</v>
      </c>
      <c r="JM47" s="14">
        <v>29.946000000000002</v>
      </c>
      <c r="JN47" s="14">
        <v>29.962</v>
      </c>
      <c r="JO47" s="14">
        <v>29.963000000000001</v>
      </c>
      <c r="JP47" s="14">
        <v>29.954999999999998</v>
      </c>
      <c r="JQ47" s="14">
        <v>29.957000000000001</v>
      </c>
      <c r="JR47" s="14">
        <v>29.954000000000001</v>
      </c>
      <c r="JS47" s="14">
        <v>29.956</v>
      </c>
      <c r="JT47" s="14">
        <v>29.954999999999998</v>
      </c>
      <c r="JU47" s="14">
        <v>29.954000000000001</v>
      </c>
      <c r="JV47" s="14">
        <v>29.954999999999998</v>
      </c>
      <c r="JW47" s="14">
        <v>29.95</v>
      </c>
      <c r="JX47" s="14">
        <v>29.954000000000001</v>
      </c>
      <c r="JY47" s="14">
        <v>29.956</v>
      </c>
      <c r="JZ47" s="14">
        <v>29.954999999999998</v>
      </c>
      <c r="KA47" s="14">
        <v>29.952000000000002</v>
      </c>
      <c r="KB47" s="14">
        <v>29.956</v>
      </c>
      <c r="KC47" s="14">
        <v>29.952999999999999</v>
      </c>
      <c r="KD47" s="14">
        <v>29.959</v>
      </c>
      <c r="KE47" s="14">
        <v>29.954000000000001</v>
      </c>
      <c r="KF47" s="14">
        <v>29.954999999999998</v>
      </c>
      <c r="KG47" s="14">
        <v>29.959</v>
      </c>
      <c r="KH47" s="14">
        <v>29.96</v>
      </c>
      <c r="KI47" s="14">
        <v>29.957000000000001</v>
      </c>
      <c r="KJ47" s="14">
        <v>29.454999999999998</v>
      </c>
      <c r="KK47" s="14">
        <v>29.457000000000001</v>
      </c>
      <c r="KL47" s="14">
        <v>29.452000000000002</v>
      </c>
      <c r="KM47" s="14">
        <v>29.456</v>
      </c>
      <c r="KN47" s="14">
        <v>29.459</v>
      </c>
      <c r="KO47" s="14"/>
      <c r="KP47" s="14"/>
      <c r="KQ47" s="14"/>
      <c r="KR47" s="14"/>
      <c r="KS47" s="14"/>
      <c r="KT47" s="14"/>
      <c r="KU47" s="14"/>
      <c r="KV47" s="14"/>
      <c r="KW47" s="14"/>
      <c r="KX47" s="14"/>
      <c r="KY47" s="14"/>
      <c r="KZ47" s="14"/>
      <c r="LA47" s="14"/>
      <c r="LB47" s="14"/>
      <c r="LC47" s="14"/>
      <c r="LD47" s="14"/>
      <c r="LE47" s="14"/>
      <c r="LF47" s="14"/>
      <c r="LG47" s="14"/>
      <c r="LH47" s="14"/>
      <c r="LI47" s="14"/>
      <c r="LJ47" s="14"/>
      <c r="LK47" s="14"/>
      <c r="LL47" s="14"/>
      <c r="LM47" s="14"/>
      <c r="LN47" s="22">
        <f t="shared" si="1"/>
        <v>15</v>
      </c>
      <c r="LO47" s="6">
        <f t="shared" si="2"/>
        <v>29.943066666666667</v>
      </c>
      <c r="LP47" s="21">
        <f t="shared" si="3"/>
        <v>1.5796322658257519E-3</v>
      </c>
      <c r="LQ47" s="7">
        <f t="shared" si="4"/>
        <v>1.6881566199668419</v>
      </c>
      <c r="LR47" s="7">
        <f t="shared" si="5"/>
        <v>1.8851082256297838</v>
      </c>
      <c r="LS47" s="7">
        <f t="shared" si="8"/>
        <v>1.4912050143039</v>
      </c>
      <c r="LT47" s="7">
        <f t="shared" si="7"/>
        <v>1.4912050143039</v>
      </c>
    </row>
    <row r="48" spans="1:332">
      <c r="A48" s="21" t="s">
        <v>48</v>
      </c>
      <c r="B48" s="21" t="s">
        <v>58</v>
      </c>
      <c r="C48" s="21" t="s">
        <v>59</v>
      </c>
      <c r="D48" s="21" t="s">
        <v>52</v>
      </c>
      <c r="E48" s="5">
        <v>29.97</v>
      </c>
      <c r="F48" s="5">
        <v>29.95</v>
      </c>
      <c r="G48" s="5">
        <f t="shared" si="0"/>
        <v>29.96</v>
      </c>
      <c r="H48" s="7"/>
      <c r="I48" s="7"/>
      <c r="J48" s="7"/>
      <c r="K48" s="7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>
        <v>29.251000000000001</v>
      </c>
      <c r="BF48" s="5">
        <v>29.960999999999999</v>
      </c>
      <c r="BG48" s="5">
        <v>29.963000000000001</v>
      </c>
      <c r="BH48" s="5">
        <v>29.965</v>
      </c>
      <c r="BI48" s="5">
        <v>29.253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>
        <v>29.940999999999999</v>
      </c>
      <c r="BU48" s="5">
        <v>29.939</v>
      </c>
      <c r="BV48" s="5">
        <v>29.937999999999999</v>
      </c>
      <c r="BW48" s="5">
        <v>29.94</v>
      </c>
      <c r="BX48" s="5">
        <v>29.940999999999999</v>
      </c>
      <c r="BY48" s="5">
        <v>29.939</v>
      </c>
      <c r="BZ48" s="5">
        <v>29.943000000000001</v>
      </c>
      <c r="CA48" s="5">
        <v>29.94</v>
      </c>
      <c r="CB48" s="5">
        <v>29.945</v>
      </c>
      <c r="CC48" s="5">
        <v>29.937999999999999</v>
      </c>
      <c r="CD48" s="5">
        <v>29.94</v>
      </c>
      <c r="CE48" s="5">
        <v>29.940999999999999</v>
      </c>
      <c r="CF48" s="5">
        <v>29.940999999999999</v>
      </c>
      <c r="CG48" s="5">
        <v>29.942</v>
      </c>
      <c r="CH48" s="5">
        <v>29.939</v>
      </c>
      <c r="CI48" s="5">
        <v>29.940999999999999</v>
      </c>
      <c r="CJ48" s="5">
        <v>29.942</v>
      </c>
      <c r="CK48" s="5">
        <v>29.939</v>
      </c>
      <c r="CL48" s="5">
        <v>29.943000000000001</v>
      </c>
      <c r="CM48" s="5">
        <v>29.940999999999999</v>
      </c>
      <c r="CN48" s="5">
        <v>29.943999999999999</v>
      </c>
      <c r="CO48" s="5">
        <v>29.94</v>
      </c>
      <c r="CP48" s="5">
        <v>29.940999999999999</v>
      </c>
      <c r="CQ48" s="5">
        <v>29.943999999999999</v>
      </c>
      <c r="CR48" s="5">
        <v>29.942</v>
      </c>
      <c r="CS48" s="5"/>
      <c r="CT48" s="5"/>
      <c r="CU48" s="5"/>
      <c r="CV48" s="5"/>
      <c r="CW48" s="5"/>
      <c r="CX48" s="5">
        <v>29.945</v>
      </c>
      <c r="CY48" s="5">
        <v>29.948</v>
      </c>
      <c r="CZ48" s="5">
        <v>29.952999999999999</v>
      </c>
      <c r="DA48" s="5">
        <v>29.951000000000001</v>
      </c>
      <c r="DB48" s="5">
        <v>29.95</v>
      </c>
      <c r="DC48" s="5">
        <v>29.943000000000001</v>
      </c>
      <c r="DD48" s="5">
        <v>29.946000000000002</v>
      </c>
      <c r="DE48" s="5">
        <v>29.942</v>
      </c>
      <c r="DF48" s="5">
        <v>29.943999999999999</v>
      </c>
      <c r="DG48" s="5">
        <v>29.945</v>
      </c>
      <c r="DH48" s="5">
        <v>29.946999999999999</v>
      </c>
      <c r="DI48" s="5">
        <v>29.942</v>
      </c>
      <c r="DJ48" s="5">
        <v>29.949000000000002</v>
      </c>
      <c r="DK48" s="5">
        <v>29.943999999999999</v>
      </c>
      <c r="DL48" s="5">
        <v>29.946000000000002</v>
      </c>
      <c r="DM48" s="5">
        <v>29.940999999999999</v>
      </c>
      <c r="DN48" s="5">
        <v>29.942</v>
      </c>
      <c r="DO48" s="5">
        <v>29.942</v>
      </c>
      <c r="DP48" s="5">
        <v>29.940999999999999</v>
      </c>
      <c r="DQ48" s="5">
        <v>29.943000000000001</v>
      </c>
      <c r="DR48" s="5">
        <v>29.948</v>
      </c>
      <c r="DS48" s="5">
        <v>29.943999999999999</v>
      </c>
      <c r="DT48" s="5">
        <v>29.945</v>
      </c>
      <c r="DU48" s="5">
        <v>29.946999999999999</v>
      </c>
      <c r="DV48" s="5">
        <v>29.946000000000002</v>
      </c>
      <c r="DW48" s="5">
        <v>29.946000000000002</v>
      </c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>
        <v>29.94</v>
      </c>
      <c r="HM48" s="5">
        <v>29.940999999999999</v>
      </c>
      <c r="HN48" s="5">
        <v>29.943999999999999</v>
      </c>
      <c r="HO48" s="5">
        <v>29.943000000000001</v>
      </c>
      <c r="HP48" s="5">
        <v>29.943000000000001</v>
      </c>
      <c r="HQ48" s="13">
        <v>29.948</v>
      </c>
      <c r="HR48" s="14">
        <v>29.946000000000002</v>
      </c>
      <c r="HS48" s="14">
        <v>29.945</v>
      </c>
      <c r="HT48" s="14">
        <v>29.95</v>
      </c>
      <c r="HU48" s="14"/>
      <c r="HV48" s="14"/>
      <c r="HW48" s="14"/>
      <c r="HX48" s="14"/>
      <c r="HY48" s="14"/>
      <c r="HZ48" s="14"/>
      <c r="IA48" s="14"/>
      <c r="IB48" s="11"/>
      <c r="IC48" s="11"/>
      <c r="ID48" s="11"/>
      <c r="IE48" s="11"/>
      <c r="IF48" s="11"/>
      <c r="IG48" s="11"/>
      <c r="IH48" s="11"/>
      <c r="II48" s="11"/>
      <c r="IJ48" s="11"/>
      <c r="IK48" s="11"/>
      <c r="IL48" s="14">
        <v>29.943000000000001</v>
      </c>
      <c r="IM48" s="14">
        <v>29.940999999999999</v>
      </c>
      <c r="IN48" s="14">
        <v>29.943000000000001</v>
      </c>
      <c r="IO48" s="14">
        <v>29.943999999999999</v>
      </c>
      <c r="IP48" s="14">
        <v>29.940999999999999</v>
      </c>
      <c r="IQ48" s="14">
        <v>29.942</v>
      </c>
      <c r="IR48" s="14">
        <v>29.940999999999999</v>
      </c>
      <c r="IS48" s="14">
        <v>29.943000000000001</v>
      </c>
      <c r="IT48" s="14">
        <v>29.946000000000002</v>
      </c>
      <c r="IU48" s="14">
        <v>29.940999999999999</v>
      </c>
      <c r="IV48" s="14">
        <v>29.942</v>
      </c>
      <c r="IW48" s="14">
        <v>29.946999999999999</v>
      </c>
      <c r="IX48" s="14">
        <v>29.945</v>
      </c>
      <c r="IY48" s="14">
        <v>29.943999999999999</v>
      </c>
      <c r="IZ48" s="14">
        <v>29.946000000000002</v>
      </c>
      <c r="JA48" s="14">
        <v>29.952999999999999</v>
      </c>
      <c r="JB48" s="14">
        <v>29.956</v>
      </c>
      <c r="JC48" s="14">
        <v>29.952999999999999</v>
      </c>
      <c r="JD48" s="14">
        <v>29.946999999999999</v>
      </c>
      <c r="JE48" s="14">
        <v>29.949000000000002</v>
      </c>
      <c r="JF48" s="14">
        <v>29.948</v>
      </c>
      <c r="JG48" s="14">
        <v>29.95</v>
      </c>
      <c r="JH48" s="14">
        <v>29.946999999999999</v>
      </c>
      <c r="JI48" s="14">
        <v>29.949000000000002</v>
      </c>
      <c r="JJ48" s="14">
        <v>29.948</v>
      </c>
      <c r="JK48" s="14">
        <v>29.946999999999999</v>
      </c>
      <c r="JL48" s="14">
        <v>29.943999999999999</v>
      </c>
      <c r="JM48" s="14">
        <v>29.946000000000002</v>
      </c>
      <c r="JN48" s="14">
        <v>29.937999999999999</v>
      </c>
      <c r="JO48" s="14">
        <v>29.94</v>
      </c>
      <c r="JP48" s="14">
        <v>29.948</v>
      </c>
      <c r="JQ48" s="14">
        <v>29.946999999999999</v>
      </c>
      <c r="JR48" s="14">
        <v>29.95</v>
      </c>
      <c r="JS48" s="14">
        <v>29.949000000000002</v>
      </c>
      <c r="JT48" s="14">
        <v>29.948</v>
      </c>
      <c r="JU48" s="14">
        <v>29.940999999999999</v>
      </c>
      <c r="JV48" s="14">
        <v>29.94</v>
      </c>
      <c r="JW48" s="14">
        <v>29.943000000000001</v>
      </c>
      <c r="JX48" s="14">
        <v>29.94</v>
      </c>
      <c r="JY48" s="14">
        <v>29.942</v>
      </c>
      <c r="JZ48" s="14">
        <v>29.946000000000002</v>
      </c>
      <c r="KA48" s="14">
        <v>29.948</v>
      </c>
      <c r="KB48" s="14">
        <v>29.949000000000002</v>
      </c>
      <c r="KC48" s="14">
        <v>29.946999999999999</v>
      </c>
      <c r="KD48" s="14">
        <v>29.946000000000002</v>
      </c>
      <c r="KE48" s="14">
        <v>29.936</v>
      </c>
      <c r="KF48" s="14">
        <v>29.937000000000001</v>
      </c>
      <c r="KG48" s="14">
        <v>29.94</v>
      </c>
      <c r="KH48" s="14">
        <v>29.940999999999999</v>
      </c>
      <c r="KI48" s="14">
        <v>29.937000000000001</v>
      </c>
      <c r="KJ48" s="14">
        <v>29.952000000000002</v>
      </c>
      <c r="KK48" s="14">
        <v>29.954999999999998</v>
      </c>
      <c r="KL48" s="14">
        <v>29.959</v>
      </c>
      <c r="KM48" s="14">
        <v>29.956</v>
      </c>
      <c r="KN48" s="14">
        <v>29.951000000000001</v>
      </c>
      <c r="KO48" s="14">
        <v>29.952000000000002</v>
      </c>
      <c r="KP48" s="14">
        <v>29.951000000000001</v>
      </c>
      <c r="KQ48" s="14">
        <v>29.952999999999999</v>
      </c>
      <c r="KR48" s="14">
        <v>29.952000000000002</v>
      </c>
      <c r="KS48" s="14">
        <v>29.957000000000001</v>
      </c>
      <c r="KT48" s="14"/>
      <c r="KU48" s="14"/>
      <c r="KV48" s="14"/>
      <c r="KW48" s="14"/>
      <c r="KX48" s="14"/>
      <c r="KY48" s="14"/>
      <c r="KZ48" s="14"/>
      <c r="LA48" s="14"/>
      <c r="LB48" s="14"/>
      <c r="LC48" s="14"/>
      <c r="LD48" s="14"/>
      <c r="LE48" s="14"/>
      <c r="LF48" s="14"/>
      <c r="LG48" s="14"/>
      <c r="LH48" s="14"/>
      <c r="LI48" s="14"/>
      <c r="LJ48" s="14"/>
      <c r="LK48" s="14"/>
      <c r="LL48" s="14"/>
      <c r="LM48" s="14"/>
      <c r="LN48" s="22">
        <f t="shared" si="1"/>
        <v>45</v>
      </c>
      <c r="LO48" s="6">
        <f t="shared" si="2"/>
        <v>29.94166666666667</v>
      </c>
      <c r="LP48" s="21">
        <f t="shared" si="3"/>
        <v>3.0075662163042013E-3</v>
      </c>
      <c r="LQ48" s="7">
        <f t="shared" si="4"/>
        <v>0.88665268688376708</v>
      </c>
      <c r="LR48" s="7">
        <f t="shared" si="5"/>
        <v>1.1452597205578956</v>
      </c>
      <c r="LS48" s="7">
        <f t="shared" si="8"/>
        <v>0.62804565320963857</v>
      </c>
      <c r="LT48" s="7">
        <f t="shared" si="7"/>
        <v>0.62804565320963857</v>
      </c>
    </row>
    <row r="49" spans="1:332">
      <c r="A49" s="21" t="s">
        <v>48</v>
      </c>
      <c r="B49" s="21" t="s">
        <v>58</v>
      </c>
      <c r="C49" s="21" t="s">
        <v>60</v>
      </c>
      <c r="D49" s="21" t="s">
        <v>33</v>
      </c>
      <c r="E49" s="5">
        <v>29.952000000000002</v>
      </c>
      <c r="F49" s="5">
        <v>29.936</v>
      </c>
      <c r="G49" s="5">
        <f t="shared" si="0"/>
        <v>29.944000000000003</v>
      </c>
      <c r="H49" s="7"/>
      <c r="I49" s="7"/>
      <c r="J49" s="7"/>
      <c r="K49" s="7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>
        <v>29.943000000000001</v>
      </c>
      <c r="BU49" s="5">
        <v>29.942</v>
      </c>
      <c r="BV49" s="5">
        <v>29.943999999999999</v>
      </c>
      <c r="BW49" s="5">
        <v>29.942</v>
      </c>
      <c r="BX49" s="5">
        <v>29.942</v>
      </c>
      <c r="BY49" s="5">
        <v>29.943999999999999</v>
      </c>
      <c r="BZ49" s="5">
        <v>29.946000000000002</v>
      </c>
      <c r="CA49" s="5">
        <v>29.939</v>
      </c>
      <c r="CB49" s="5">
        <v>29.942</v>
      </c>
      <c r="CC49" s="5">
        <v>29.943999999999999</v>
      </c>
      <c r="CD49" s="5">
        <v>29.943999999999999</v>
      </c>
      <c r="CE49" s="5">
        <v>29.943000000000001</v>
      </c>
      <c r="CF49" s="5">
        <v>29.943000000000001</v>
      </c>
      <c r="CG49" s="5">
        <v>29.943999999999999</v>
      </c>
      <c r="CH49" s="5">
        <v>29.943999999999999</v>
      </c>
      <c r="CI49" s="5">
        <v>29.94</v>
      </c>
      <c r="CJ49" s="5">
        <v>29.942</v>
      </c>
      <c r="CK49" s="5">
        <v>29.943999999999999</v>
      </c>
      <c r="CL49" s="5">
        <v>29.946999999999999</v>
      </c>
      <c r="CM49" s="5">
        <v>29.940999999999999</v>
      </c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>
        <v>29.948</v>
      </c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>
        <v>29.946000000000002</v>
      </c>
      <c r="HM49" s="5">
        <v>29.946999999999999</v>
      </c>
      <c r="HN49" s="5">
        <v>29.948</v>
      </c>
      <c r="HO49" s="5">
        <v>29.946999999999999</v>
      </c>
      <c r="HP49" s="15">
        <v>29.946999999999999</v>
      </c>
      <c r="HQ49" s="16">
        <v>29.946000000000002</v>
      </c>
      <c r="HR49" s="17">
        <v>29.945</v>
      </c>
      <c r="HS49" s="17">
        <v>29.943000000000001</v>
      </c>
      <c r="HT49" s="17">
        <v>29.943999999999999</v>
      </c>
      <c r="HU49" s="14"/>
      <c r="HV49" s="14"/>
      <c r="HW49" s="14"/>
      <c r="HX49" s="14"/>
      <c r="HY49" s="14"/>
      <c r="HZ49" s="14"/>
      <c r="IA49" s="14"/>
      <c r="IB49" s="11"/>
      <c r="IC49" s="11"/>
      <c r="ID49" s="11"/>
      <c r="IE49" s="11"/>
      <c r="IF49" s="11"/>
      <c r="IG49" s="11"/>
      <c r="IH49" s="11"/>
      <c r="II49" s="11"/>
      <c r="IJ49" s="11"/>
      <c r="IK49" s="11"/>
      <c r="IL49" s="14"/>
      <c r="IM49" s="14"/>
      <c r="IN49" s="14"/>
      <c r="IO49" s="14"/>
      <c r="IP49" s="14"/>
      <c r="IQ49" s="14"/>
      <c r="IR49" s="14"/>
      <c r="IS49" s="14"/>
      <c r="IT49" s="14"/>
      <c r="IU49" s="14"/>
      <c r="IV49" s="14">
        <v>29.936</v>
      </c>
      <c r="IW49" s="14">
        <v>29.94</v>
      </c>
      <c r="IX49" s="14">
        <v>29.946999999999999</v>
      </c>
      <c r="IY49" s="14">
        <v>29.949000000000002</v>
      </c>
      <c r="IZ49" s="14">
        <v>29.951000000000001</v>
      </c>
      <c r="JA49" s="14">
        <v>29.954000000000001</v>
      </c>
      <c r="JB49" s="14">
        <v>29.937999999999999</v>
      </c>
      <c r="JC49" s="14">
        <v>29.94</v>
      </c>
      <c r="JD49" s="14">
        <v>29.940999999999999</v>
      </c>
      <c r="JE49" s="14">
        <v>29.946999999999999</v>
      </c>
      <c r="JF49" s="14">
        <v>29.943999999999999</v>
      </c>
      <c r="JG49" s="14">
        <v>29.943000000000001</v>
      </c>
      <c r="JH49" s="14">
        <v>29.942</v>
      </c>
      <c r="JI49" s="14">
        <v>29.943000000000001</v>
      </c>
      <c r="JJ49" s="14">
        <v>29.945</v>
      </c>
      <c r="JK49" s="14">
        <v>29.946999999999999</v>
      </c>
      <c r="JL49" s="14">
        <v>29.943000000000001</v>
      </c>
      <c r="JM49" s="14">
        <v>29.942</v>
      </c>
      <c r="JN49" s="14">
        <v>29.946000000000002</v>
      </c>
      <c r="JO49" s="14">
        <v>29.943999999999999</v>
      </c>
      <c r="JP49" s="14">
        <v>29.946999999999999</v>
      </c>
      <c r="JQ49" s="14">
        <v>29.945</v>
      </c>
      <c r="JR49" s="14">
        <v>29.946000000000002</v>
      </c>
      <c r="JS49" s="14">
        <v>29.949000000000002</v>
      </c>
      <c r="JT49" s="14">
        <v>29.945</v>
      </c>
      <c r="JU49" s="14">
        <v>29.949000000000002</v>
      </c>
      <c r="JV49" s="14">
        <v>29.95</v>
      </c>
      <c r="JW49" s="14">
        <v>29.952000000000002</v>
      </c>
      <c r="JX49" s="14">
        <v>29.95</v>
      </c>
      <c r="JY49" s="14">
        <v>29.948</v>
      </c>
      <c r="JZ49" s="14">
        <v>29.945</v>
      </c>
      <c r="KA49" s="14">
        <v>29.946999999999999</v>
      </c>
      <c r="KB49" s="14">
        <v>29.946000000000002</v>
      </c>
      <c r="KC49" s="14">
        <v>29.949000000000002</v>
      </c>
      <c r="KD49" s="14">
        <v>29.945</v>
      </c>
      <c r="KE49" s="14">
        <v>29.946999999999999</v>
      </c>
      <c r="KF49" s="14">
        <v>29.948</v>
      </c>
      <c r="KG49" s="14">
        <v>29.949000000000002</v>
      </c>
      <c r="KH49" s="14">
        <v>29.946000000000002</v>
      </c>
      <c r="KI49" s="14">
        <v>29.949000000000002</v>
      </c>
      <c r="KJ49" s="14">
        <v>29.945</v>
      </c>
      <c r="KK49" s="14">
        <v>29.946999999999999</v>
      </c>
      <c r="KL49" s="14">
        <v>29.943000000000001</v>
      </c>
      <c r="KM49" s="14">
        <v>29.943999999999999</v>
      </c>
      <c r="KN49" s="14">
        <v>29.946000000000002</v>
      </c>
      <c r="KO49" s="14">
        <v>29.945</v>
      </c>
      <c r="KP49" s="14">
        <v>29.943000000000001</v>
      </c>
      <c r="KQ49" s="14">
        <v>29.943999999999999</v>
      </c>
      <c r="KR49" s="14">
        <v>29.946000000000002</v>
      </c>
      <c r="KS49" s="14">
        <v>29.946999999999999</v>
      </c>
      <c r="KT49" s="14"/>
      <c r="KU49" s="14"/>
      <c r="KV49" s="14"/>
      <c r="KW49" s="14"/>
      <c r="KX49" s="14"/>
      <c r="KY49" s="14"/>
      <c r="KZ49" s="14"/>
      <c r="LA49" s="14"/>
      <c r="LB49" s="14"/>
      <c r="LC49" s="14"/>
      <c r="LD49" s="14"/>
      <c r="LE49" s="14"/>
      <c r="LF49" s="14"/>
      <c r="LG49" s="14"/>
      <c r="LH49" s="14"/>
      <c r="LI49" s="14"/>
      <c r="LJ49" s="14"/>
      <c r="LK49" s="14"/>
      <c r="LL49" s="14"/>
      <c r="LM49" s="14"/>
      <c r="LN49" s="22">
        <f t="shared" si="1"/>
        <v>35</v>
      </c>
      <c r="LO49" s="6">
        <f t="shared" si="2"/>
        <v>10.047257142857143</v>
      </c>
      <c r="LP49" s="21">
        <f t="shared" si="3"/>
        <v>2.9935504902733967E-3</v>
      </c>
      <c r="LQ49" s="7">
        <f t="shared" si="4"/>
        <v>1.1135049648115771</v>
      </c>
      <c r="LR49" s="7">
        <f t="shared" si="5"/>
        <v>1.4189234694455413</v>
      </c>
      <c r="LS49" s="7">
        <f t="shared" si="8"/>
        <v>0.80808646017761288</v>
      </c>
      <c r="LT49" s="7">
        <f t="shared" si="7"/>
        <v>0.80808646017761288</v>
      </c>
    </row>
    <row r="50" spans="1:332">
      <c r="A50" s="21" t="s">
        <v>48</v>
      </c>
      <c r="B50" s="21" t="s">
        <v>61</v>
      </c>
      <c r="C50" s="21" t="s">
        <v>62</v>
      </c>
      <c r="D50" s="21" t="s">
        <v>33</v>
      </c>
      <c r="E50" s="5">
        <v>29.952000000000002</v>
      </c>
      <c r="F50" s="5">
        <v>29.936</v>
      </c>
      <c r="G50" s="5">
        <f t="shared" si="0"/>
        <v>29.944000000000003</v>
      </c>
      <c r="H50" s="7"/>
      <c r="I50" s="7"/>
      <c r="J50" s="7"/>
      <c r="K50" s="7"/>
      <c r="L50" s="5">
        <v>29.942</v>
      </c>
      <c r="M50" s="5">
        <v>29.943999999999999</v>
      </c>
      <c r="N50" s="5">
        <v>29.940999999999999</v>
      </c>
      <c r="O50" s="5">
        <v>29.939</v>
      </c>
      <c r="P50" s="5">
        <v>29.94</v>
      </c>
      <c r="Q50" s="5">
        <v>29.940999999999999</v>
      </c>
      <c r="R50" s="5">
        <v>29.94</v>
      </c>
      <c r="S50" s="5">
        <v>29.940999999999999</v>
      </c>
      <c r="T50" s="5">
        <v>29.94</v>
      </c>
      <c r="U50" s="5">
        <v>29.939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>
        <v>29.942</v>
      </c>
      <c r="AG50" s="5">
        <v>29.946000000000002</v>
      </c>
      <c r="AH50" s="5">
        <v>29.939</v>
      </c>
      <c r="AI50" s="5">
        <v>29.940999999999999</v>
      </c>
      <c r="AJ50" s="5">
        <v>29.945</v>
      </c>
      <c r="AK50" s="5">
        <v>29.94</v>
      </c>
      <c r="AL50" s="5">
        <v>29.939</v>
      </c>
      <c r="AM50" s="5">
        <v>29.937999999999999</v>
      </c>
      <c r="AN50" s="5">
        <v>29.939</v>
      </c>
      <c r="AO50" s="5">
        <v>29.940999999999999</v>
      </c>
      <c r="AP50" s="5">
        <v>29.940999999999999</v>
      </c>
      <c r="AQ50" s="5">
        <v>29.945</v>
      </c>
      <c r="AR50" s="5">
        <v>29.939</v>
      </c>
      <c r="AS50" s="5">
        <v>29.95</v>
      </c>
      <c r="AT50" s="5">
        <v>29.94</v>
      </c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>
        <v>29.942</v>
      </c>
      <c r="BF50" s="5">
        <v>29.943999999999999</v>
      </c>
      <c r="BG50" s="5">
        <v>29.948</v>
      </c>
      <c r="BH50" s="5">
        <v>29.951000000000001</v>
      </c>
      <c r="BI50" s="5">
        <v>29.943999999999999</v>
      </c>
      <c r="BJ50" s="5"/>
      <c r="BK50" s="5"/>
      <c r="BL50" s="5"/>
      <c r="BM50" s="5"/>
      <c r="BN50" s="5"/>
      <c r="BO50" s="5">
        <v>29.939</v>
      </c>
      <c r="BP50" s="5">
        <v>29.937000000000001</v>
      </c>
      <c r="BQ50" s="5">
        <v>29.943000000000001</v>
      </c>
      <c r="BR50" s="5">
        <v>29.937999999999999</v>
      </c>
      <c r="BS50" s="5">
        <v>29.942</v>
      </c>
      <c r="BT50" s="5">
        <v>29.94</v>
      </c>
      <c r="BU50" s="5">
        <v>29.939</v>
      </c>
      <c r="BV50" s="5">
        <v>29.940999999999999</v>
      </c>
      <c r="BW50" s="5">
        <v>29.94</v>
      </c>
      <c r="BX50" s="5">
        <v>29.940999999999999</v>
      </c>
      <c r="BY50" s="5"/>
      <c r="BZ50" s="5"/>
      <c r="CA50" s="5"/>
      <c r="CB50" s="5"/>
      <c r="CC50" s="5"/>
      <c r="CD50" s="5">
        <v>29.943999999999999</v>
      </c>
      <c r="CE50" s="5">
        <v>29.940999999999999</v>
      </c>
      <c r="CF50" s="5">
        <v>29.942</v>
      </c>
      <c r="CG50" s="5">
        <v>29.943999999999999</v>
      </c>
      <c r="CH50" s="5">
        <v>29.943000000000001</v>
      </c>
      <c r="CI50" s="5"/>
      <c r="CJ50" s="5"/>
      <c r="CK50" s="5"/>
      <c r="CL50" s="5"/>
      <c r="CM50" s="5"/>
      <c r="CN50" s="5">
        <v>29.940999999999999</v>
      </c>
      <c r="CO50" s="5">
        <v>29.939</v>
      </c>
      <c r="CP50" s="5">
        <v>29.939</v>
      </c>
      <c r="CQ50" s="5">
        <v>29.94</v>
      </c>
      <c r="CR50" s="5">
        <v>29.940999999999999</v>
      </c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>
        <v>29.940999999999999</v>
      </c>
      <c r="DI50" s="5">
        <v>29.939</v>
      </c>
      <c r="DJ50" s="5">
        <v>29.940999999999999</v>
      </c>
      <c r="DK50" s="5">
        <v>29.943000000000001</v>
      </c>
      <c r="DL50" s="5">
        <v>29.94</v>
      </c>
      <c r="DM50" s="5">
        <v>29.94</v>
      </c>
      <c r="DN50" s="5">
        <v>29.939</v>
      </c>
      <c r="DO50" s="5">
        <v>29.937999999999999</v>
      </c>
      <c r="DP50" s="5">
        <v>29.94</v>
      </c>
      <c r="DQ50" s="5">
        <v>29.94</v>
      </c>
      <c r="DR50" s="5">
        <v>29.942</v>
      </c>
      <c r="DS50" s="5">
        <v>29.937999999999999</v>
      </c>
      <c r="DT50" s="5">
        <v>29.939</v>
      </c>
      <c r="DU50" s="5">
        <v>29.94</v>
      </c>
      <c r="DV50" s="5">
        <v>29.943000000000001</v>
      </c>
      <c r="DW50" s="5">
        <v>29.943000000000001</v>
      </c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>
        <v>29.942</v>
      </c>
      <c r="HM50" s="5">
        <v>29.943000000000001</v>
      </c>
      <c r="HN50" s="5">
        <v>29.942</v>
      </c>
      <c r="HO50" s="5">
        <v>29.943000000000001</v>
      </c>
      <c r="HP50" s="5">
        <v>29.945</v>
      </c>
      <c r="HQ50" s="13">
        <v>29.942</v>
      </c>
      <c r="HR50" s="14">
        <v>29.943999999999999</v>
      </c>
      <c r="HS50" s="14">
        <v>29.942</v>
      </c>
      <c r="HT50" s="14">
        <v>29.945</v>
      </c>
      <c r="HU50" s="14"/>
      <c r="HV50" s="14"/>
      <c r="HW50" s="14"/>
      <c r="HX50" s="14"/>
      <c r="HY50" s="14"/>
      <c r="HZ50" s="14"/>
      <c r="IA50" s="14"/>
      <c r="IB50" s="11"/>
      <c r="IC50" s="11"/>
      <c r="ID50" s="11"/>
      <c r="IE50" s="11"/>
      <c r="IF50" s="11"/>
      <c r="IG50" s="11"/>
      <c r="IH50" s="11"/>
      <c r="II50" s="11"/>
      <c r="IJ50" s="11"/>
      <c r="IK50" s="11"/>
      <c r="IL50" s="14">
        <v>29.937000000000001</v>
      </c>
      <c r="IM50" s="14">
        <v>29.943000000000001</v>
      </c>
      <c r="IN50" s="14">
        <v>29.939</v>
      </c>
      <c r="IO50" s="14">
        <v>29.94</v>
      </c>
      <c r="IP50" s="14">
        <v>29.946999999999999</v>
      </c>
      <c r="IQ50" s="14">
        <v>29.946000000000002</v>
      </c>
      <c r="IR50" s="14">
        <v>29.963000000000001</v>
      </c>
      <c r="IS50" s="14">
        <v>29.939</v>
      </c>
      <c r="IT50" s="14">
        <v>29.946000000000002</v>
      </c>
      <c r="IU50" s="14">
        <v>29.943999999999999</v>
      </c>
      <c r="IV50" s="14">
        <v>29.949000000000002</v>
      </c>
      <c r="IW50" s="14">
        <v>29.95</v>
      </c>
      <c r="IX50" s="14">
        <v>29.946999999999999</v>
      </c>
      <c r="IY50" s="14">
        <v>29.949000000000002</v>
      </c>
      <c r="IZ50" s="14">
        <v>29.951000000000001</v>
      </c>
      <c r="JA50" s="14">
        <v>29.954000000000001</v>
      </c>
      <c r="JB50" s="14">
        <v>29.937999999999999</v>
      </c>
      <c r="JC50" s="14">
        <v>29.94</v>
      </c>
      <c r="JD50" s="14">
        <v>29.940999999999999</v>
      </c>
      <c r="JE50" s="14">
        <v>29.946999999999999</v>
      </c>
      <c r="JF50" s="14">
        <v>29.940999999999999</v>
      </c>
      <c r="JG50" s="14">
        <v>29.943999999999999</v>
      </c>
      <c r="JH50" s="14">
        <v>29.937999999999999</v>
      </c>
      <c r="JI50" s="14">
        <v>29.937000000000001</v>
      </c>
      <c r="JJ50" s="14">
        <v>29.939</v>
      </c>
      <c r="JK50" s="14">
        <v>29.937000000000001</v>
      </c>
      <c r="JL50" s="14">
        <v>29.939</v>
      </c>
      <c r="JM50" s="14">
        <v>29.94</v>
      </c>
      <c r="JN50" s="14">
        <v>9.9410000000000007</v>
      </c>
      <c r="JO50" s="14">
        <v>2.944</v>
      </c>
      <c r="JP50" s="14">
        <v>29.942</v>
      </c>
      <c r="JQ50" s="14">
        <v>29.94</v>
      </c>
      <c r="JR50" s="14">
        <v>29.939</v>
      </c>
      <c r="JS50" s="14">
        <v>29.940999999999999</v>
      </c>
      <c r="JT50" s="14">
        <v>29.939</v>
      </c>
      <c r="JU50" s="14">
        <v>29.942</v>
      </c>
      <c r="JV50" s="14">
        <v>29.946999999999999</v>
      </c>
      <c r="JW50" s="14">
        <v>29.946000000000002</v>
      </c>
      <c r="JX50" s="14">
        <v>29.943999999999999</v>
      </c>
      <c r="JY50" s="14">
        <v>29.946000000000002</v>
      </c>
      <c r="JZ50" s="14">
        <v>29.942</v>
      </c>
      <c r="KA50" s="14">
        <v>29.946000000000002</v>
      </c>
      <c r="KB50" s="14">
        <v>29.945</v>
      </c>
      <c r="KC50" s="14">
        <v>29.943000000000001</v>
      </c>
      <c r="KD50" s="14">
        <v>29.940999999999999</v>
      </c>
      <c r="KE50" s="14">
        <v>29.939</v>
      </c>
      <c r="KF50" s="14">
        <v>29.940999999999999</v>
      </c>
      <c r="KG50" s="14">
        <v>29.937000000000001</v>
      </c>
      <c r="KH50" s="14">
        <v>29.943000000000001</v>
      </c>
      <c r="KI50" s="14">
        <v>29.943999999999999</v>
      </c>
      <c r="KJ50" s="14">
        <v>29.942</v>
      </c>
      <c r="KK50" s="14">
        <v>29.943999999999999</v>
      </c>
      <c r="KL50" s="14">
        <v>29.943000000000001</v>
      </c>
      <c r="KM50" s="14">
        <v>29.945</v>
      </c>
      <c r="KN50" s="14">
        <v>29.946000000000002</v>
      </c>
      <c r="KO50" s="14">
        <v>29.946000000000002</v>
      </c>
      <c r="KP50" s="14">
        <v>29.943999999999999</v>
      </c>
      <c r="KQ50" s="14">
        <v>29.945</v>
      </c>
      <c r="KR50" s="14">
        <v>29.943999999999999</v>
      </c>
      <c r="KS50" s="14">
        <v>29.943000000000001</v>
      </c>
      <c r="KT50" s="14"/>
      <c r="KU50" s="14"/>
      <c r="KV50" s="14"/>
      <c r="KW50" s="14"/>
      <c r="KX50" s="14"/>
      <c r="KY50" s="14"/>
      <c r="KZ50" s="14"/>
      <c r="LA50" s="14"/>
      <c r="LB50" s="14"/>
      <c r="LC50" s="14"/>
      <c r="LD50" s="14"/>
      <c r="LE50" s="14"/>
      <c r="LF50" s="14"/>
      <c r="LG50" s="14"/>
      <c r="LH50" s="14"/>
      <c r="LI50" s="14"/>
      <c r="LJ50" s="14"/>
      <c r="LK50" s="14"/>
      <c r="LL50" s="14"/>
      <c r="LM50" s="14"/>
      <c r="LN50" s="22">
        <f t="shared" si="1"/>
        <v>30</v>
      </c>
      <c r="LO50" s="6">
        <f t="shared" si="2"/>
        <v>29.943533333333335</v>
      </c>
      <c r="LP50" s="21">
        <f t="shared" si="3"/>
        <v>3.1374636509322604E-3</v>
      </c>
      <c r="LQ50" s="7">
        <f t="shared" si="4"/>
        <v>0.84994344583867809</v>
      </c>
      <c r="LR50" s="7">
        <f t="shared" si="5"/>
        <v>0.89952348017920947</v>
      </c>
      <c r="LS50" s="7">
        <f t="shared" si="8"/>
        <v>0.80036341149814672</v>
      </c>
      <c r="LT50" s="7">
        <f t="shared" si="7"/>
        <v>0.80036341149814672</v>
      </c>
    </row>
    <row r="51" spans="1:332">
      <c r="A51" s="21" t="s">
        <v>48</v>
      </c>
      <c r="B51" s="21" t="s">
        <v>63</v>
      </c>
      <c r="C51" s="21" t="s">
        <v>64</v>
      </c>
      <c r="D51" s="21" t="s">
        <v>65</v>
      </c>
      <c r="E51" s="5">
        <v>10.06</v>
      </c>
      <c r="F51" s="5">
        <v>10.039999999999999</v>
      </c>
      <c r="G51" s="5">
        <f t="shared" si="0"/>
        <v>10.050000000000001</v>
      </c>
      <c r="H51" s="7"/>
      <c r="I51" s="7"/>
      <c r="J51" s="7"/>
      <c r="K51" s="7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>
        <v>10.045999999999999</v>
      </c>
      <c r="AG51" s="5">
        <v>10.048999999999999</v>
      </c>
      <c r="AH51" s="5">
        <v>10.052</v>
      </c>
      <c r="AI51" s="5">
        <v>10.047000000000001</v>
      </c>
      <c r="AJ51" s="5">
        <v>10.047000000000001</v>
      </c>
      <c r="AK51" s="5">
        <v>10.048</v>
      </c>
      <c r="AL51" s="5">
        <v>10.047000000000001</v>
      </c>
      <c r="AM51" s="5">
        <v>10.050000000000001</v>
      </c>
      <c r="AN51" s="5">
        <v>10.048</v>
      </c>
      <c r="AO51" s="5">
        <v>10.045999999999999</v>
      </c>
      <c r="AP51" s="5">
        <v>10.047000000000001</v>
      </c>
      <c r="AQ51" s="5">
        <v>10.042999999999999</v>
      </c>
      <c r="AR51" s="5">
        <v>10.050000000000001</v>
      </c>
      <c r="AS51" s="5">
        <v>10.044</v>
      </c>
      <c r="AT51" s="5">
        <v>10.047000000000001</v>
      </c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>
        <v>10.048999999999999</v>
      </c>
      <c r="BF51" s="5">
        <v>10.054</v>
      </c>
      <c r="BG51" s="5">
        <v>10.045999999999999</v>
      </c>
      <c r="BH51" s="5">
        <v>10.051</v>
      </c>
      <c r="BI51" s="5">
        <v>10.044</v>
      </c>
      <c r="BJ51" s="5"/>
      <c r="BK51" s="5"/>
      <c r="BL51" s="5"/>
      <c r="BM51" s="5"/>
      <c r="BN51" s="5"/>
      <c r="BO51" s="5">
        <v>10.051</v>
      </c>
      <c r="BP51" s="5">
        <v>10.047000000000001</v>
      </c>
      <c r="BQ51" s="5">
        <v>10.042999999999999</v>
      </c>
      <c r="BR51" s="5">
        <v>10.053000000000001</v>
      </c>
      <c r="BS51" s="5">
        <v>10.048999999999999</v>
      </c>
      <c r="BT51" s="5">
        <v>10.044</v>
      </c>
      <c r="BU51" s="5">
        <v>10.045</v>
      </c>
      <c r="BV51" s="5">
        <v>10.042</v>
      </c>
      <c r="BW51" s="5">
        <v>10.042999999999999</v>
      </c>
      <c r="BX51" s="5">
        <v>10.042999999999999</v>
      </c>
      <c r="BY51" s="5"/>
      <c r="BZ51" s="5"/>
      <c r="CA51" s="5"/>
      <c r="CB51" s="5"/>
      <c r="CC51" s="5"/>
      <c r="CD51" s="5">
        <v>10.048</v>
      </c>
      <c r="CE51" s="5">
        <v>10.048999999999999</v>
      </c>
      <c r="CF51" s="5">
        <v>10.045999999999999</v>
      </c>
      <c r="CG51" s="5">
        <v>10.047000000000001</v>
      </c>
      <c r="CH51" s="5">
        <v>10.048999999999999</v>
      </c>
      <c r="CI51" s="5"/>
      <c r="CJ51" s="5"/>
      <c r="CK51" s="5"/>
      <c r="CL51" s="5"/>
      <c r="CM51" s="5"/>
      <c r="CN51" s="5">
        <v>10.050000000000001</v>
      </c>
      <c r="CO51" s="5">
        <v>10.048999999999999</v>
      </c>
      <c r="CP51" s="5">
        <v>10.048999999999999</v>
      </c>
      <c r="CQ51" s="5">
        <v>10.050000000000001</v>
      </c>
      <c r="CR51" s="5">
        <v>10.045</v>
      </c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>
        <v>10.050000000000001</v>
      </c>
      <c r="DI51" s="5">
        <v>10.052</v>
      </c>
      <c r="DJ51" s="5">
        <v>10.054</v>
      </c>
      <c r="DK51" s="5">
        <v>10.055999999999999</v>
      </c>
      <c r="DL51" s="5">
        <v>10.053000000000001</v>
      </c>
      <c r="DM51" s="5">
        <v>10.052</v>
      </c>
      <c r="DN51" s="5">
        <v>10.050000000000001</v>
      </c>
      <c r="DO51" s="5">
        <v>10.050000000000001</v>
      </c>
      <c r="DP51" s="5">
        <v>10.053000000000001</v>
      </c>
      <c r="DQ51" s="5">
        <v>10.054</v>
      </c>
      <c r="DR51" s="5">
        <v>10.048999999999999</v>
      </c>
      <c r="DS51" s="5">
        <v>10.052</v>
      </c>
      <c r="DT51" s="5">
        <v>10.051</v>
      </c>
      <c r="DU51" s="5">
        <v>10.053000000000001</v>
      </c>
      <c r="DV51" s="5">
        <v>10.054</v>
      </c>
      <c r="DW51" s="5">
        <v>10.054</v>
      </c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>
        <v>10.055999999999999</v>
      </c>
      <c r="HM51" s="5">
        <v>10.052</v>
      </c>
      <c r="HN51" s="5">
        <v>10.048999999999999</v>
      </c>
      <c r="HO51" s="5">
        <v>10.051</v>
      </c>
      <c r="HP51" s="5">
        <v>10.058</v>
      </c>
      <c r="HQ51" s="13">
        <v>10.058999999999999</v>
      </c>
      <c r="HR51" s="14">
        <v>10.058999999999999</v>
      </c>
      <c r="HS51" s="14">
        <v>10.057</v>
      </c>
      <c r="HT51" s="14">
        <v>10.058999999999999</v>
      </c>
      <c r="HU51" s="14"/>
      <c r="HV51" s="14"/>
      <c r="HW51" s="14"/>
      <c r="HX51" s="14"/>
      <c r="HY51" s="14"/>
      <c r="HZ51" s="14"/>
      <c r="IA51" s="14"/>
      <c r="IB51" s="11"/>
      <c r="IC51" s="11"/>
      <c r="ID51" s="11"/>
      <c r="IE51" s="11"/>
      <c r="IF51" s="11"/>
      <c r="IG51" s="11"/>
      <c r="IH51" s="11"/>
      <c r="II51" s="11"/>
      <c r="IJ51" s="11"/>
      <c r="IK51" s="11"/>
      <c r="IL51" s="14">
        <v>10.042</v>
      </c>
      <c r="IM51" s="14">
        <v>10.053000000000001</v>
      </c>
      <c r="IN51" s="14">
        <v>10.048999999999999</v>
      </c>
      <c r="IO51" s="14">
        <v>10.050000000000001</v>
      </c>
      <c r="IP51" s="14">
        <v>10.052</v>
      </c>
      <c r="IQ51" s="14">
        <v>10.058</v>
      </c>
      <c r="IR51" s="14">
        <v>10.057</v>
      </c>
      <c r="IS51" s="14">
        <v>10.057</v>
      </c>
      <c r="IT51" s="14">
        <v>10.058</v>
      </c>
      <c r="IU51" s="14">
        <v>10.058999999999999</v>
      </c>
      <c r="IV51" s="14">
        <v>10.053000000000001</v>
      </c>
      <c r="IW51" s="14">
        <v>10.055</v>
      </c>
      <c r="IX51" s="14">
        <v>10.057</v>
      </c>
      <c r="IY51" s="14">
        <v>10.053000000000001</v>
      </c>
      <c r="IZ51" s="14">
        <v>10.054</v>
      </c>
      <c r="JA51" s="14">
        <v>10.045999999999999</v>
      </c>
      <c r="JB51" s="14">
        <v>10.048</v>
      </c>
      <c r="JC51" s="14">
        <v>10.047000000000001</v>
      </c>
      <c r="JD51" s="14">
        <v>10.050000000000001</v>
      </c>
      <c r="JE51" s="14">
        <v>10.045</v>
      </c>
      <c r="JF51" s="14">
        <v>10.045</v>
      </c>
      <c r="JG51" s="14">
        <v>10.047000000000001</v>
      </c>
      <c r="JH51" s="14">
        <v>10.045999999999999</v>
      </c>
      <c r="JI51" s="14">
        <v>10.045</v>
      </c>
      <c r="JJ51" s="14">
        <v>10.045999999999999</v>
      </c>
      <c r="JK51" s="14">
        <v>10.042999999999999</v>
      </c>
      <c r="JL51" s="14">
        <v>10.045999999999999</v>
      </c>
      <c r="JM51" s="14">
        <v>10.042</v>
      </c>
      <c r="JN51" s="14">
        <v>10.045</v>
      </c>
      <c r="JO51" s="14">
        <v>10.048999999999999</v>
      </c>
      <c r="JP51" s="14">
        <v>10.045</v>
      </c>
      <c r="JQ51" s="14">
        <v>10.047000000000001</v>
      </c>
      <c r="JR51" s="14">
        <v>10.055</v>
      </c>
      <c r="JS51" s="14">
        <v>10.048999999999999</v>
      </c>
      <c r="JT51" s="14">
        <v>10.048</v>
      </c>
      <c r="JU51" s="14">
        <v>10.041</v>
      </c>
      <c r="JV51" s="14">
        <v>10.042999999999999</v>
      </c>
      <c r="JW51" s="14">
        <v>10.039999999999999</v>
      </c>
      <c r="JX51" s="14">
        <v>10.041</v>
      </c>
      <c r="JY51" s="14">
        <v>10.044</v>
      </c>
      <c r="JZ51" s="14">
        <v>10.055</v>
      </c>
      <c r="KA51" s="14">
        <v>10.047000000000001</v>
      </c>
      <c r="KB51" s="14">
        <v>10.053000000000001</v>
      </c>
      <c r="KC51" s="14">
        <v>10.050000000000001</v>
      </c>
      <c r="KD51" s="14">
        <v>10.051</v>
      </c>
      <c r="KE51" s="14">
        <v>10.041</v>
      </c>
      <c r="KF51" s="14">
        <v>10.042</v>
      </c>
      <c r="KG51" s="14">
        <v>10.041</v>
      </c>
      <c r="KH51" s="14">
        <v>10.042999999999999</v>
      </c>
      <c r="KI51" s="14">
        <v>10.039999999999999</v>
      </c>
      <c r="KJ51" s="14">
        <v>10.045</v>
      </c>
      <c r="KK51" s="14">
        <v>10.048999999999999</v>
      </c>
      <c r="KL51" s="14">
        <v>10.050000000000001</v>
      </c>
      <c r="KM51" s="14">
        <v>10.052</v>
      </c>
      <c r="KN51" s="14">
        <v>10.048999999999999</v>
      </c>
      <c r="KO51" s="14">
        <v>10.052</v>
      </c>
      <c r="KP51" s="14">
        <v>10.051</v>
      </c>
      <c r="KQ51" s="14">
        <v>10.052</v>
      </c>
      <c r="KR51" s="14">
        <v>10.054</v>
      </c>
      <c r="KS51" s="14">
        <v>10.055</v>
      </c>
      <c r="KT51" s="14"/>
      <c r="KU51" s="14"/>
      <c r="KV51" s="14"/>
      <c r="KW51" s="14"/>
      <c r="KX51" s="14"/>
      <c r="KY51" s="14"/>
      <c r="KZ51" s="14"/>
      <c r="LA51" s="14"/>
      <c r="LB51" s="14"/>
      <c r="LC51" s="14"/>
      <c r="LD51" s="14"/>
      <c r="LE51" s="14"/>
      <c r="LF51" s="14"/>
      <c r="LG51" s="14"/>
      <c r="LH51" s="14"/>
      <c r="LI51" s="14"/>
      <c r="LJ51" s="14"/>
      <c r="LK51" s="14"/>
      <c r="LL51" s="14"/>
      <c r="LM51" s="14"/>
      <c r="LN51" s="22"/>
      <c r="LO51" s="6"/>
      <c r="LP51" s="21"/>
      <c r="LQ51" s="7"/>
      <c r="LR51" s="7"/>
      <c r="LS51" s="7"/>
      <c r="LT51" s="7"/>
    </row>
    <row r="52" spans="1:332">
      <c r="A52" s="21" t="s">
        <v>48</v>
      </c>
      <c r="B52" s="21" t="s">
        <v>61</v>
      </c>
      <c r="C52" s="21" t="s">
        <v>66</v>
      </c>
      <c r="D52" s="21" t="s">
        <v>52</v>
      </c>
      <c r="E52" s="5">
        <v>29.952000000000002</v>
      </c>
      <c r="F52" s="5">
        <v>29.936</v>
      </c>
      <c r="G52" s="5">
        <f t="shared" si="0"/>
        <v>29.944000000000003</v>
      </c>
      <c r="H52" s="7"/>
      <c r="I52" s="7"/>
      <c r="J52" s="7"/>
      <c r="K52" s="7"/>
      <c r="L52" s="5"/>
      <c r="M52" s="5"/>
      <c r="N52" s="5"/>
      <c r="O52" s="5"/>
      <c r="P52" s="5"/>
      <c r="Q52" s="5">
        <v>29.943000000000001</v>
      </c>
      <c r="R52" s="5">
        <v>29.943999999999999</v>
      </c>
      <c r="S52" s="5">
        <v>29.942</v>
      </c>
      <c r="T52" s="5">
        <v>29.943999999999999</v>
      </c>
      <c r="U52" s="5">
        <v>29.943000000000001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>
        <v>29.940999999999999</v>
      </c>
      <c r="AG52" s="5">
        <v>29.945</v>
      </c>
      <c r="AH52" s="5">
        <v>29.943000000000001</v>
      </c>
      <c r="AI52" s="5">
        <v>29.94</v>
      </c>
      <c r="AJ52" s="5">
        <v>29.937999999999999</v>
      </c>
      <c r="AK52" s="5">
        <v>29.940999999999999</v>
      </c>
      <c r="AL52" s="5">
        <v>29.943000000000001</v>
      </c>
      <c r="AM52" s="5">
        <v>29.942</v>
      </c>
      <c r="AN52" s="5">
        <v>29.943999999999999</v>
      </c>
      <c r="AO52" s="5">
        <v>29.940999999999999</v>
      </c>
      <c r="AP52" s="5">
        <v>29.94</v>
      </c>
      <c r="AQ52" s="5">
        <v>29.943999999999999</v>
      </c>
      <c r="AR52" s="5">
        <v>29.951000000000001</v>
      </c>
      <c r="AS52" s="5">
        <v>29.946000000000002</v>
      </c>
      <c r="AT52" s="5">
        <v>29.951000000000001</v>
      </c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29.940999999999999</v>
      </c>
      <c r="BP52" s="5">
        <v>29.945</v>
      </c>
      <c r="BQ52" s="5">
        <v>29.939</v>
      </c>
      <c r="BR52" s="5">
        <v>29.940999999999999</v>
      </c>
      <c r="BS52" s="5">
        <v>29.943000000000001</v>
      </c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>
        <v>29.946000000000002</v>
      </c>
      <c r="CE52" s="5">
        <v>29.943999999999999</v>
      </c>
      <c r="CF52" s="5">
        <v>29.948</v>
      </c>
      <c r="CG52" s="5">
        <v>29.945</v>
      </c>
      <c r="CH52" s="5">
        <v>29.948</v>
      </c>
      <c r="CI52" s="5">
        <v>38.048000000000002</v>
      </c>
      <c r="CJ52" s="5">
        <v>38.042999999999999</v>
      </c>
      <c r="CK52" s="5">
        <v>38.045000000000002</v>
      </c>
      <c r="CL52" s="5">
        <v>38.042000000000002</v>
      </c>
      <c r="CM52" s="5">
        <v>38.040999999999997</v>
      </c>
      <c r="CN52" s="5">
        <v>29.943999999999999</v>
      </c>
      <c r="CO52" s="5">
        <v>29.939</v>
      </c>
      <c r="CP52" s="5">
        <v>29.942</v>
      </c>
      <c r="CQ52" s="5">
        <v>29.943999999999999</v>
      </c>
      <c r="CR52" s="5">
        <v>29.939</v>
      </c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>
        <v>29.943000000000001</v>
      </c>
      <c r="DN52" s="5">
        <v>29.942</v>
      </c>
      <c r="DO52" s="5">
        <v>29.943000000000001</v>
      </c>
      <c r="DP52" s="5">
        <v>29.940999999999999</v>
      </c>
      <c r="DQ52" s="5">
        <v>29.940999999999999</v>
      </c>
      <c r="DR52" s="5">
        <v>29.937999999999999</v>
      </c>
      <c r="DS52" s="5">
        <v>29.939</v>
      </c>
      <c r="DT52" s="5">
        <v>29.943999999999999</v>
      </c>
      <c r="DU52" s="5">
        <v>29.942</v>
      </c>
      <c r="DV52" s="5">
        <v>29.94</v>
      </c>
      <c r="DW52" s="5">
        <v>29.942</v>
      </c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>
        <v>29.94</v>
      </c>
      <c r="HM52" s="5">
        <v>29.942</v>
      </c>
      <c r="HN52" s="5">
        <v>29.94</v>
      </c>
      <c r="HO52" s="5">
        <v>29.942</v>
      </c>
      <c r="HP52" s="5">
        <v>29.946000000000002</v>
      </c>
      <c r="HQ52" s="13">
        <v>29.946999999999999</v>
      </c>
      <c r="HR52" s="14">
        <v>29.945</v>
      </c>
      <c r="HS52" s="14">
        <v>29.948</v>
      </c>
      <c r="HT52" s="14">
        <v>29.946999999999999</v>
      </c>
      <c r="HU52" s="14"/>
      <c r="HV52" s="14"/>
      <c r="HW52" s="14"/>
      <c r="HX52" s="14"/>
      <c r="HY52" s="14"/>
      <c r="HZ52" s="14"/>
      <c r="IA52" s="14"/>
      <c r="IB52" s="11"/>
      <c r="IC52" s="11"/>
      <c r="ID52" s="11"/>
      <c r="IE52" s="11"/>
      <c r="IF52" s="11"/>
      <c r="IG52" s="11"/>
      <c r="IH52" s="11"/>
      <c r="II52" s="11"/>
      <c r="IJ52" s="11"/>
      <c r="IK52" s="11"/>
      <c r="IL52" s="14">
        <v>29.939</v>
      </c>
      <c r="IM52" s="14">
        <v>29.940999999999999</v>
      </c>
      <c r="IN52" s="14">
        <v>29.952000000000002</v>
      </c>
      <c r="IO52" s="14">
        <v>29.946000000000002</v>
      </c>
      <c r="IP52" s="14">
        <v>29.942</v>
      </c>
      <c r="IQ52" s="14">
        <v>29.943000000000001</v>
      </c>
      <c r="IR52" s="14">
        <v>29.951000000000001</v>
      </c>
      <c r="IS52" s="14">
        <v>29.946000000000002</v>
      </c>
      <c r="IT52" s="14">
        <v>29.948</v>
      </c>
      <c r="IU52" s="14">
        <v>29.946999999999999</v>
      </c>
      <c r="IV52" s="14">
        <v>29.94</v>
      </c>
      <c r="IW52" s="14">
        <v>29.943999999999999</v>
      </c>
      <c r="IX52" s="14">
        <v>29.942</v>
      </c>
      <c r="IY52" s="14">
        <v>29.94</v>
      </c>
      <c r="IZ52" s="14">
        <v>29.946999999999999</v>
      </c>
      <c r="JA52" s="14"/>
      <c r="JB52" s="14"/>
      <c r="JC52" s="14"/>
      <c r="JD52" s="14"/>
      <c r="JE52" s="14"/>
      <c r="JF52" s="14">
        <v>29.943000000000001</v>
      </c>
      <c r="JG52" s="14">
        <v>29.940999999999999</v>
      </c>
      <c r="JH52" s="14">
        <v>29.943999999999999</v>
      </c>
      <c r="JI52" s="14">
        <v>299.94200000000001</v>
      </c>
      <c r="JJ52" s="14">
        <v>29.940999999999999</v>
      </c>
      <c r="JK52" s="14">
        <v>29.945</v>
      </c>
      <c r="JL52" s="14">
        <v>29.942</v>
      </c>
      <c r="JM52" s="14">
        <v>29.94</v>
      </c>
      <c r="JN52" s="14">
        <v>29.943999999999999</v>
      </c>
      <c r="JO52" s="14">
        <v>29.943000000000001</v>
      </c>
      <c r="JP52" s="14"/>
      <c r="JQ52" s="14"/>
      <c r="JR52" s="14"/>
      <c r="JS52" s="14"/>
      <c r="JT52" s="14"/>
      <c r="JU52" s="14"/>
      <c r="JV52" s="14"/>
      <c r="JW52" s="14"/>
      <c r="JX52" s="14"/>
      <c r="JY52" s="14"/>
      <c r="JZ52" s="14"/>
      <c r="KA52" s="14"/>
      <c r="KB52" s="14"/>
      <c r="KC52" s="14"/>
      <c r="KD52" s="14"/>
      <c r="KE52" s="14"/>
      <c r="KF52" s="14"/>
      <c r="KG52" s="14"/>
      <c r="KH52" s="14"/>
      <c r="KI52" s="14"/>
      <c r="KJ52" s="14">
        <v>29.943999999999999</v>
      </c>
      <c r="KK52" s="14">
        <v>29.940999999999999</v>
      </c>
      <c r="KL52" s="14">
        <v>29.946000000000002</v>
      </c>
      <c r="KM52" s="14">
        <v>29.949000000000002</v>
      </c>
      <c r="KN52" s="14">
        <v>29.945</v>
      </c>
      <c r="KO52" s="14">
        <v>29.943000000000001</v>
      </c>
      <c r="KP52" s="14">
        <v>29.940999999999999</v>
      </c>
      <c r="KQ52" s="14">
        <v>29.94</v>
      </c>
      <c r="KR52" s="14">
        <v>29.942</v>
      </c>
      <c r="KS52" s="14">
        <v>29.943999999999999</v>
      </c>
      <c r="KT52" s="14"/>
      <c r="KU52" s="14"/>
      <c r="KV52" s="14"/>
      <c r="KW52" s="14"/>
      <c r="KX52" s="14"/>
      <c r="KY52" s="14"/>
      <c r="KZ52" s="14"/>
      <c r="LA52" s="14"/>
      <c r="LB52" s="14"/>
      <c r="LC52" s="14"/>
      <c r="LD52" s="14"/>
      <c r="LE52" s="14"/>
      <c r="LF52" s="14"/>
      <c r="LG52" s="14"/>
      <c r="LH52" s="14"/>
      <c r="LI52" s="14"/>
      <c r="LJ52" s="14"/>
      <c r="LK52" s="14"/>
      <c r="LL52" s="14"/>
      <c r="LM52" s="14"/>
      <c r="LN52" s="22">
        <f>COUNT(L54:CH54)</f>
        <v>34</v>
      </c>
      <c r="LO52" s="6">
        <f>AVERAGE(L54:CH54)</f>
        <v>36.46876470588235</v>
      </c>
      <c r="LP52" s="21">
        <f>STDEVA(L54:CH54)</f>
        <v>6.1643530160011419</v>
      </c>
      <c r="LQ52" s="7">
        <f>(E54-F54)/(6*LP52)</f>
        <v>6.759292752786828E-4</v>
      </c>
      <c r="LR52" s="7">
        <f>(E54-LO52)/(3*LP52)</f>
        <v>2.4460687655964942E-3</v>
      </c>
      <c r="LS52" s="7">
        <f>(LO52-F54)/(3*LP52)</f>
        <v>-1.0942102150391286E-3</v>
      </c>
      <c r="LT52" s="7">
        <f t="shared" si="7"/>
        <v>-1.0942102150391286E-3</v>
      </c>
    </row>
    <row r="53" spans="1:332">
      <c r="A53" s="21" t="s">
        <v>48</v>
      </c>
      <c r="B53" s="21" t="s">
        <v>61</v>
      </c>
      <c r="C53" s="21" t="s">
        <v>66</v>
      </c>
      <c r="D53" s="21" t="s">
        <v>52</v>
      </c>
      <c r="E53" s="10"/>
      <c r="F53" s="10"/>
      <c r="G53" s="5"/>
      <c r="H53" s="7"/>
      <c r="I53" s="7"/>
      <c r="J53" s="7"/>
      <c r="K53" s="7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>
        <v>36.476999999999997</v>
      </c>
      <c r="BF53" s="5">
        <v>36.473999999999997</v>
      </c>
      <c r="BG53" s="5">
        <v>36.475999999999999</v>
      </c>
      <c r="BH53" s="5">
        <v>36.481999999999999</v>
      </c>
      <c r="BI53" s="5">
        <v>36.484000000000002</v>
      </c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13"/>
      <c r="HR53" s="14"/>
      <c r="HS53" s="14"/>
      <c r="HT53" s="14"/>
      <c r="HU53" s="14"/>
      <c r="HV53" s="14"/>
      <c r="HW53" s="14"/>
      <c r="HX53" s="14"/>
      <c r="HY53" s="14"/>
      <c r="HZ53" s="14"/>
      <c r="IA53" s="14"/>
      <c r="IB53" s="11"/>
      <c r="IC53" s="11"/>
      <c r="ID53" s="11"/>
      <c r="IE53" s="11"/>
      <c r="IF53" s="11"/>
      <c r="IG53" s="11"/>
      <c r="IH53" s="11"/>
      <c r="II53" s="11"/>
      <c r="IJ53" s="11"/>
      <c r="IK53" s="11"/>
      <c r="IL53" s="14"/>
      <c r="IM53" s="14"/>
      <c r="IN53" s="14"/>
      <c r="IO53" s="14"/>
      <c r="IP53" s="14"/>
      <c r="IQ53" s="14"/>
      <c r="IR53" s="14"/>
      <c r="IS53" s="14"/>
      <c r="IT53" s="14"/>
      <c r="IU53" s="14"/>
      <c r="IV53" s="14"/>
      <c r="IW53" s="14"/>
      <c r="IX53" s="14"/>
      <c r="IY53" s="14"/>
      <c r="IZ53" s="14"/>
      <c r="JA53" s="14"/>
      <c r="JB53" s="14"/>
      <c r="JC53" s="14"/>
      <c r="JD53" s="14"/>
      <c r="JE53" s="14"/>
      <c r="JF53" s="14"/>
      <c r="JG53" s="14"/>
      <c r="JH53" s="14"/>
      <c r="JI53" s="14"/>
      <c r="JJ53" s="14"/>
      <c r="JK53" s="14"/>
      <c r="JL53" s="14"/>
      <c r="JM53" s="14"/>
      <c r="JN53" s="14"/>
      <c r="JO53" s="14"/>
      <c r="JP53" s="14"/>
      <c r="JQ53" s="14"/>
      <c r="JR53" s="14"/>
      <c r="JS53" s="14"/>
      <c r="JT53" s="14"/>
      <c r="JU53" s="14"/>
      <c r="JV53" s="14"/>
      <c r="JW53" s="14"/>
      <c r="JX53" s="14"/>
      <c r="JY53" s="14"/>
      <c r="JZ53" s="14"/>
      <c r="KA53" s="14"/>
      <c r="KB53" s="14"/>
      <c r="KC53" s="14"/>
      <c r="KD53" s="14"/>
      <c r="KE53" s="14"/>
      <c r="KF53" s="14"/>
      <c r="KG53" s="14"/>
      <c r="KH53" s="14"/>
      <c r="KI53" s="14"/>
      <c r="KJ53" s="14"/>
      <c r="KK53" s="14"/>
      <c r="KL53" s="14"/>
      <c r="KM53" s="14"/>
      <c r="KN53" s="14"/>
      <c r="KO53" s="14"/>
      <c r="KP53" s="14"/>
      <c r="KQ53" s="14"/>
      <c r="KR53" s="14"/>
      <c r="KS53" s="14"/>
      <c r="KT53" s="14"/>
      <c r="KU53" s="14"/>
      <c r="KV53" s="14"/>
      <c r="KW53" s="14"/>
      <c r="KX53" s="14"/>
      <c r="KY53" s="14"/>
      <c r="KZ53" s="14"/>
      <c r="LA53" s="14"/>
      <c r="LB53" s="14"/>
      <c r="LC53" s="14"/>
      <c r="LD53" s="14"/>
      <c r="LE53" s="14"/>
      <c r="LF53" s="14"/>
      <c r="LG53" s="14"/>
      <c r="LH53" s="14"/>
      <c r="LI53" s="14"/>
      <c r="LJ53" s="14"/>
      <c r="LK53" s="14"/>
      <c r="LL53" s="14"/>
      <c r="LM53" s="14"/>
      <c r="LN53" s="22">
        <f>COUNT(L55:CH55)</f>
        <v>29</v>
      </c>
      <c r="LO53" s="6">
        <f>AVERAGE(L55:CH55)</f>
        <v>36.4653103448276</v>
      </c>
      <c r="LP53" s="21">
        <f>STDEVA(L55:CH55)</f>
        <v>6.6576268962487308</v>
      </c>
      <c r="LQ53" s="7">
        <f>(E55-F55)/(6*LP53)</f>
        <v>1.2516972583772022E-3</v>
      </c>
      <c r="LR53" s="7">
        <f>(E55-LO53)/(3*LP53)</f>
        <v>1.7368378509338472E-3</v>
      </c>
      <c r="LS53" s="7">
        <f>(LO53-F55)/(3*LP53)</f>
        <v>7.6655666582055727E-4</v>
      </c>
      <c r="LT53" s="7">
        <f t="shared" si="7"/>
        <v>7.6655666582055727E-4</v>
      </c>
    </row>
    <row r="54" spans="1:332">
      <c r="A54" s="21" t="s">
        <v>48</v>
      </c>
      <c r="B54" s="21" t="s">
        <v>67</v>
      </c>
      <c r="C54" s="21" t="s">
        <v>68</v>
      </c>
      <c r="D54" s="21" t="s">
        <v>33</v>
      </c>
      <c r="E54" s="5">
        <v>36.514000000000003</v>
      </c>
      <c r="F54" s="5">
        <v>36.488999999999997</v>
      </c>
      <c r="G54" s="5">
        <f t="shared" si="0"/>
        <v>36.5015</v>
      </c>
      <c r="H54" s="7"/>
      <c r="I54" s="7"/>
      <c r="J54" s="7"/>
      <c r="K54" s="7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>
        <v>36.472999999999999</v>
      </c>
      <c r="AG54" s="5">
        <v>36.476999999999997</v>
      </c>
      <c r="AH54" s="5">
        <v>36.469000000000001</v>
      </c>
      <c r="AI54" s="5">
        <v>36.478000000000002</v>
      </c>
      <c r="AJ54" s="5">
        <v>36.475999999999999</v>
      </c>
      <c r="AK54" s="5">
        <v>36.459000000000003</v>
      </c>
      <c r="AL54" s="5">
        <v>36.439</v>
      </c>
      <c r="AM54" s="5">
        <v>36.454000000000001</v>
      </c>
      <c r="AN54" s="5">
        <v>36.457999999999998</v>
      </c>
      <c r="AO54" s="5">
        <v>36.465000000000003</v>
      </c>
      <c r="AP54" s="5">
        <v>36.49</v>
      </c>
      <c r="AQ54" s="5">
        <v>36.470999999999997</v>
      </c>
      <c r="AR54" s="5" t="s">
        <v>101</v>
      </c>
      <c r="AS54" s="5">
        <v>36.472999999999999</v>
      </c>
      <c r="AT54" s="5">
        <v>36.451000000000001</v>
      </c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>
        <v>36.475000000000001</v>
      </c>
      <c r="BF54" s="5">
        <v>36.470999999999997</v>
      </c>
      <c r="BG54" s="5">
        <v>36.481999999999999</v>
      </c>
      <c r="BH54" s="5">
        <v>36.481000000000002</v>
      </c>
      <c r="BI54" s="5">
        <v>36.473999999999997</v>
      </c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>
        <v>36.468000000000004</v>
      </c>
      <c r="BU54" s="5">
        <v>36.466999999999999</v>
      </c>
      <c r="BV54" s="5">
        <v>36.468000000000004</v>
      </c>
      <c r="BW54" s="5">
        <v>36.466999999999999</v>
      </c>
      <c r="BX54" s="5">
        <v>36.466999999999999</v>
      </c>
      <c r="BY54" s="5">
        <v>36.47</v>
      </c>
      <c r="BZ54" s="5">
        <v>36.472000000000001</v>
      </c>
      <c r="CA54" s="5">
        <v>36.469000000000001</v>
      </c>
      <c r="CB54" s="5">
        <v>36.463999999999999</v>
      </c>
      <c r="CC54" s="5">
        <v>36.466000000000001</v>
      </c>
      <c r="CD54" s="5">
        <v>36.469000000000001</v>
      </c>
      <c r="CE54" s="5">
        <v>36.466000000000001</v>
      </c>
      <c r="CF54" s="5">
        <v>36.47</v>
      </c>
      <c r="CG54" s="5">
        <v>36.469000000000001</v>
      </c>
      <c r="CH54" s="5">
        <v>36.47</v>
      </c>
      <c r="CI54" s="5"/>
      <c r="CJ54" s="5"/>
      <c r="CK54" s="5"/>
      <c r="CL54" s="5"/>
      <c r="CM54" s="5"/>
      <c r="CN54" s="5">
        <v>36.462000000000003</v>
      </c>
      <c r="CO54" s="5">
        <v>36.46</v>
      </c>
      <c r="CP54" s="5">
        <v>36.462000000000003</v>
      </c>
      <c r="CQ54" s="5">
        <v>36.463000000000001</v>
      </c>
      <c r="CR54" s="5">
        <v>36.460999999999999</v>
      </c>
      <c r="CS54" s="5"/>
      <c r="CT54" s="5"/>
      <c r="CU54" s="5"/>
      <c r="CV54" s="5"/>
      <c r="CW54" s="5"/>
      <c r="CX54" s="5">
        <v>36.468000000000004</v>
      </c>
      <c r="CY54" s="5">
        <v>36.457000000000001</v>
      </c>
      <c r="CZ54" s="5">
        <v>36.460999999999999</v>
      </c>
      <c r="DA54" s="5">
        <v>36.457000000000001</v>
      </c>
      <c r="DB54" s="5">
        <v>36.456000000000003</v>
      </c>
      <c r="DC54" s="5">
        <v>36.463000000000001</v>
      </c>
      <c r="DD54" s="5">
        <v>36.463999999999999</v>
      </c>
      <c r="DE54" s="5">
        <v>36.463000000000001</v>
      </c>
      <c r="DF54" s="5">
        <v>36.463999999999999</v>
      </c>
      <c r="DG54" s="5">
        <v>36.466000000000001</v>
      </c>
      <c r="DH54" s="5">
        <v>36.459000000000003</v>
      </c>
      <c r="DI54" s="5">
        <v>36.462000000000003</v>
      </c>
      <c r="DJ54" s="5">
        <v>36.466999999999999</v>
      </c>
      <c r="DK54" s="5">
        <v>36.463999999999999</v>
      </c>
      <c r="DL54" s="5">
        <v>36.466000000000001</v>
      </c>
      <c r="DM54" s="5">
        <v>36.462000000000003</v>
      </c>
      <c r="DN54" s="5">
        <v>36.469000000000001</v>
      </c>
      <c r="DO54" s="5">
        <v>36.463999999999999</v>
      </c>
      <c r="DP54" s="5">
        <v>36.47</v>
      </c>
      <c r="DQ54" s="5">
        <v>36.459000000000003</v>
      </c>
      <c r="DR54" s="5">
        <v>36.497999999999998</v>
      </c>
      <c r="DS54" s="5">
        <v>36.493000000000002</v>
      </c>
      <c r="DT54" s="5">
        <v>36.948</v>
      </c>
      <c r="DU54" s="5">
        <v>36.497</v>
      </c>
      <c r="DV54" s="5">
        <v>36.497999999999998</v>
      </c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>
        <v>36.451000000000001</v>
      </c>
      <c r="HQ54" s="13">
        <v>36.453000000000003</v>
      </c>
      <c r="HR54" s="14">
        <v>36.46</v>
      </c>
      <c r="HS54" s="14">
        <v>36.451999999999998</v>
      </c>
      <c r="HT54" s="14">
        <v>36.450000000000003</v>
      </c>
      <c r="HU54" s="14"/>
      <c r="HV54" s="14"/>
      <c r="HW54" s="14"/>
      <c r="HX54" s="14"/>
      <c r="HY54" s="14"/>
      <c r="HZ54" s="14"/>
      <c r="IA54" s="14"/>
      <c r="IB54" s="11"/>
      <c r="IC54" s="11"/>
      <c r="ID54" s="11"/>
      <c r="IE54" s="11"/>
      <c r="IF54" s="11"/>
      <c r="IG54" s="11"/>
      <c r="IH54" s="11"/>
      <c r="II54" s="11"/>
      <c r="IJ54" s="11"/>
      <c r="IK54" s="11"/>
      <c r="IL54" s="14">
        <v>36.463999999999999</v>
      </c>
      <c r="IM54" s="14">
        <v>36.466999999999999</v>
      </c>
      <c r="IN54" s="14">
        <v>36.476999999999997</v>
      </c>
      <c r="IO54" s="14">
        <v>36.456000000000003</v>
      </c>
      <c r="IP54" s="14">
        <v>36.472999999999999</v>
      </c>
      <c r="IQ54" s="14">
        <v>36.491</v>
      </c>
      <c r="IR54" s="14">
        <v>36.500999999999998</v>
      </c>
      <c r="IS54" s="14">
        <v>36.503</v>
      </c>
      <c r="IT54" s="14">
        <v>36.503</v>
      </c>
      <c r="IU54" s="14">
        <v>36.496000000000002</v>
      </c>
      <c r="IV54" s="14">
        <v>36.457000000000001</v>
      </c>
      <c r="IW54" s="14">
        <v>36.459000000000003</v>
      </c>
      <c r="IX54" s="14">
        <v>36.462000000000003</v>
      </c>
      <c r="IY54" s="14">
        <v>36.460999999999999</v>
      </c>
      <c r="IZ54" s="14">
        <v>36.46</v>
      </c>
      <c r="JA54" s="14">
        <v>36.457000000000001</v>
      </c>
      <c r="JB54" s="14">
        <v>36.459000000000003</v>
      </c>
      <c r="JC54" s="14">
        <v>36.460999999999999</v>
      </c>
      <c r="JD54" s="14">
        <v>36.46</v>
      </c>
      <c r="JE54" s="14">
        <v>36.470999999999997</v>
      </c>
      <c r="JF54" s="14">
        <v>36.472000000000001</v>
      </c>
      <c r="JG54" s="14">
        <v>36.473999999999997</v>
      </c>
      <c r="JH54" s="14">
        <v>36.472999999999999</v>
      </c>
      <c r="JI54" s="14">
        <v>36.472000000000001</v>
      </c>
      <c r="JJ54" s="14">
        <v>36.472999999999999</v>
      </c>
      <c r="JK54" s="14">
        <v>36.488999999999997</v>
      </c>
      <c r="JL54" s="14">
        <v>36.47</v>
      </c>
      <c r="JM54" s="14">
        <v>36.472000000000001</v>
      </c>
      <c r="JN54" s="14">
        <v>36.473999999999997</v>
      </c>
      <c r="JO54" s="14">
        <v>36.472000000000001</v>
      </c>
      <c r="JP54" s="14">
        <v>36.466000000000001</v>
      </c>
      <c r="JQ54" s="14">
        <v>36.472999999999999</v>
      </c>
      <c r="JR54" s="14">
        <v>36.470999999999997</v>
      </c>
      <c r="JS54" s="14">
        <v>36.466999999999999</v>
      </c>
      <c r="JT54" s="14">
        <v>36.469000000000001</v>
      </c>
      <c r="JU54" s="14">
        <v>36.473999999999997</v>
      </c>
      <c r="JV54" s="14">
        <v>36.472999999999999</v>
      </c>
      <c r="JW54" s="14">
        <v>36.470999999999997</v>
      </c>
      <c r="JX54" s="14">
        <v>36.472000000000001</v>
      </c>
      <c r="JY54" s="14">
        <v>36.473999999999997</v>
      </c>
      <c r="JZ54" s="14">
        <v>36.468000000000004</v>
      </c>
      <c r="KA54" s="14">
        <v>36.465000000000003</v>
      </c>
      <c r="KB54" s="14">
        <v>36.46</v>
      </c>
      <c r="KC54" s="14">
        <v>36.469000000000001</v>
      </c>
      <c r="KD54" s="14">
        <v>36.468000000000004</v>
      </c>
      <c r="KE54" s="14">
        <v>36.463999999999999</v>
      </c>
      <c r="KF54" s="14">
        <v>36.465000000000003</v>
      </c>
      <c r="KG54" s="14">
        <v>36.462000000000003</v>
      </c>
      <c r="KH54" s="14">
        <v>36.46</v>
      </c>
      <c r="KI54" s="14">
        <v>36.462000000000003</v>
      </c>
      <c r="KJ54" s="14">
        <v>36.46</v>
      </c>
      <c r="KK54" s="14">
        <v>36.465000000000003</v>
      </c>
      <c r="KL54" s="14">
        <v>36.463000000000001</v>
      </c>
      <c r="KM54" s="14">
        <v>36.460999999999999</v>
      </c>
      <c r="KN54" s="14">
        <v>36.466999999999999</v>
      </c>
      <c r="KO54" s="14">
        <v>36.466000000000001</v>
      </c>
      <c r="KP54" s="14">
        <v>36.465000000000003</v>
      </c>
      <c r="KQ54" s="14">
        <v>36.463000000000001</v>
      </c>
      <c r="KR54" s="14">
        <v>36.463999999999999</v>
      </c>
      <c r="KS54" s="14">
        <v>36.463999999999999</v>
      </c>
      <c r="KT54" s="14"/>
      <c r="KU54" s="14"/>
      <c r="KV54" s="14"/>
      <c r="KW54" s="14"/>
      <c r="KX54" s="14"/>
      <c r="KY54" s="14"/>
      <c r="KZ54" s="14"/>
      <c r="LA54" s="14"/>
      <c r="LB54" s="14"/>
      <c r="LC54" s="14"/>
      <c r="LD54" s="14"/>
      <c r="LE54" s="14"/>
      <c r="LF54" s="14"/>
      <c r="LG54" s="14"/>
      <c r="LH54" s="14"/>
      <c r="LI54" s="14"/>
      <c r="LJ54" s="14"/>
      <c r="LK54" s="14"/>
      <c r="LL54" s="14"/>
      <c r="LM54" s="14"/>
      <c r="LN54" s="22"/>
      <c r="LO54" s="6"/>
      <c r="LP54" s="21"/>
      <c r="LQ54" s="7"/>
      <c r="LR54" s="7"/>
      <c r="LS54" s="7"/>
      <c r="LT54" s="7"/>
    </row>
    <row r="55" spans="1:332">
      <c r="A55" s="21" t="s">
        <v>48</v>
      </c>
      <c r="B55" s="21" t="s">
        <v>67</v>
      </c>
      <c r="C55" s="21" t="s">
        <v>69</v>
      </c>
      <c r="D55" s="21" t="s">
        <v>33</v>
      </c>
      <c r="E55" s="5">
        <v>36.5</v>
      </c>
      <c r="F55" s="5">
        <v>36.450000000000003</v>
      </c>
      <c r="G55" s="5">
        <f t="shared" si="0"/>
        <v>36.475000000000001</v>
      </c>
      <c r="H55" s="7"/>
      <c r="I55" s="7"/>
      <c r="J55" s="7"/>
      <c r="K55" s="7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>
        <v>36.475000000000001</v>
      </c>
      <c r="AG55" s="5">
        <v>36.465000000000003</v>
      </c>
      <c r="AH55" s="5">
        <v>36.472000000000001</v>
      </c>
      <c r="AI55" s="5">
        <v>36.473999999999997</v>
      </c>
      <c r="AJ55" s="5">
        <v>36.470999999999997</v>
      </c>
      <c r="AK55" s="5"/>
      <c r="AL55" s="5"/>
      <c r="AM55" s="5"/>
      <c r="AN55" s="5"/>
      <c r="AO55" s="5"/>
      <c r="AP55" s="5">
        <v>36.457000000000001</v>
      </c>
      <c r="AQ55" s="5">
        <v>36.463000000000001</v>
      </c>
      <c r="AR55" s="5">
        <v>36.47</v>
      </c>
      <c r="AS55" s="5" t="s">
        <v>102</v>
      </c>
      <c r="AT55" s="5">
        <v>36.472000000000001</v>
      </c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>
        <v>36.47</v>
      </c>
      <c r="BP55" s="5">
        <v>36.463999999999999</v>
      </c>
      <c r="BQ55" s="5">
        <v>36.468000000000004</v>
      </c>
      <c r="BR55" s="5">
        <v>36.470999999999997</v>
      </c>
      <c r="BS55" s="5">
        <v>36.457999999999998</v>
      </c>
      <c r="BT55" s="5">
        <v>36.459000000000003</v>
      </c>
      <c r="BU55" s="5">
        <v>36.460999999999999</v>
      </c>
      <c r="BV55" s="5">
        <v>36.46</v>
      </c>
      <c r="BW55" s="5">
        <v>36.454999999999998</v>
      </c>
      <c r="BX55" s="5">
        <v>36.466000000000001</v>
      </c>
      <c r="BY55" s="5">
        <v>36.454999999999998</v>
      </c>
      <c r="BZ55" s="5">
        <v>36.463999999999999</v>
      </c>
      <c r="CA55" s="5">
        <v>36.466999999999999</v>
      </c>
      <c r="CB55" s="5">
        <v>36.469000000000001</v>
      </c>
      <c r="CC55" s="5">
        <v>36.473999999999997</v>
      </c>
      <c r="CD55" s="5">
        <v>36.465000000000003</v>
      </c>
      <c r="CE55" s="5">
        <v>36.468000000000004</v>
      </c>
      <c r="CF55" s="5">
        <v>36.46</v>
      </c>
      <c r="CG55" s="5">
        <v>36.462000000000003</v>
      </c>
      <c r="CH55" s="5">
        <v>36.459000000000003</v>
      </c>
      <c r="CI55" s="5"/>
      <c r="CJ55" s="5"/>
      <c r="CK55" s="5"/>
      <c r="CL55" s="5"/>
      <c r="CM55" s="5"/>
      <c r="CN55" s="5">
        <v>36.465000000000003</v>
      </c>
      <c r="CO55" s="5">
        <v>36.46</v>
      </c>
      <c r="CP55" s="5">
        <v>36.463999999999999</v>
      </c>
      <c r="CQ55" s="5">
        <v>36.469000000000001</v>
      </c>
      <c r="CR55" s="5">
        <v>36.46</v>
      </c>
      <c r="CS55" s="5"/>
      <c r="CT55" s="5"/>
      <c r="CU55" s="5"/>
      <c r="CV55" s="5"/>
      <c r="CW55" s="5"/>
      <c r="CX55" s="5">
        <v>36.465000000000003</v>
      </c>
      <c r="CY55" s="5">
        <v>36.454999999999998</v>
      </c>
      <c r="CZ55" s="5">
        <v>36.457000000000001</v>
      </c>
      <c r="DA55" s="5">
        <v>36.46</v>
      </c>
      <c r="DB55" s="5">
        <v>36.459000000000003</v>
      </c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>
        <v>36.46</v>
      </c>
      <c r="DS55" s="5">
        <v>36.457000000000001</v>
      </c>
      <c r="DT55" s="5">
        <v>36.457999999999998</v>
      </c>
      <c r="DU55" s="5">
        <v>36.465000000000003</v>
      </c>
      <c r="DV55" s="5">
        <v>36.463000000000001</v>
      </c>
      <c r="DW55" s="5">
        <v>36.466000000000001</v>
      </c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>
        <v>36.465000000000003</v>
      </c>
      <c r="HM55" s="5">
        <v>36.463999999999999</v>
      </c>
      <c r="HN55" s="5">
        <v>36.466000000000001</v>
      </c>
      <c r="HO55" s="5">
        <v>36.466999999999999</v>
      </c>
      <c r="HP55" s="5">
        <v>36.46</v>
      </c>
      <c r="HQ55" s="13">
        <v>36.463000000000001</v>
      </c>
      <c r="HR55" s="14">
        <v>36.465000000000003</v>
      </c>
      <c r="HS55" s="14">
        <v>36.466999999999999</v>
      </c>
      <c r="HT55" s="14">
        <v>36.457999999999998</v>
      </c>
      <c r="HU55" s="14"/>
      <c r="HV55" s="14"/>
      <c r="HW55" s="14"/>
      <c r="HX55" s="14"/>
      <c r="HY55" s="14"/>
      <c r="HZ55" s="14"/>
      <c r="IA55" s="14"/>
      <c r="IB55" s="11"/>
      <c r="IC55" s="11"/>
      <c r="ID55" s="11"/>
      <c r="IE55" s="11"/>
      <c r="IF55" s="11"/>
      <c r="IG55" s="11"/>
      <c r="IH55" s="11"/>
      <c r="II55" s="11"/>
      <c r="IJ55" s="11"/>
      <c r="IK55" s="11"/>
      <c r="IL55" s="14">
        <v>36.46</v>
      </c>
      <c r="IM55" s="14">
        <v>36.454000000000001</v>
      </c>
      <c r="IN55" s="14">
        <v>36.462000000000003</v>
      </c>
      <c r="IO55" s="14">
        <v>36.478000000000002</v>
      </c>
      <c r="IP55" s="14">
        <v>26.486000000000001</v>
      </c>
      <c r="IQ55" s="14">
        <v>26.486000000000001</v>
      </c>
      <c r="IR55" s="14">
        <v>36.472000000000001</v>
      </c>
      <c r="IS55" s="14">
        <v>36.481999999999999</v>
      </c>
      <c r="IT55" s="14">
        <v>26.48</v>
      </c>
      <c r="IU55" s="14">
        <v>36.478999999999999</v>
      </c>
      <c r="IV55" s="14">
        <v>36.472999999999999</v>
      </c>
      <c r="IW55" s="14">
        <v>36.475000000000001</v>
      </c>
      <c r="IX55" s="14">
        <v>36.472000000000001</v>
      </c>
      <c r="IY55" s="14">
        <v>36.475000000000001</v>
      </c>
      <c r="IZ55" s="14">
        <v>36.476999999999997</v>
      </c>
      <c r="JA55" s="14">
        <v>36.465000000000003</v>
      </c>
      <c r="JB55" s="14">
        <v>36.463999999999999</v>
      </c>
      <c r="JC55" s="14">
        <v>36.462000000000003</v>
      </c>
      <c r="JD55" s="14">
        <v>36.466000000000001</v>
      </c>
      <c r="JE55" s="14">
        <v>36.463999999999999</v>
      </c>
      <c r="JF55" s="14">
        <v>36.47</v>
      </c>
      <c r="JG55" s="14">
        <v>36.472999999999999</v>
      </c>
      <c r="JH55" s="14">
        <v>36.472000000000001</v>
      </c>
      <c r="JI55" s="14">
        <v>36.488</v>
      </c>
      <c r="JJ55" s="14">
        <v>36.470999999999997</v>
      </c>
      <c r="JK55" s="14">
        <v>36.466000000000001</v>
      </c>
      <c r="JL55" s="14">
        <v>36.468000000000004</v>
      </c>
      <c r="JM55" s="14">
        <v>36.469000000000001</v>
      </c>
      <c r="JN55" s="14">
        <v>36.47</v>
      </c>
      <c r="JO55" s="14">
        <v>36.472000000000001</v>
      </c>
      <c r="JP55" s="14">
        <v>36.484999999999999</v>
      </c>
      <c r="JQ55" s="14">
        <v>36.488</v>
      </c>
      <c r="JR55" s="14">
        <v>36.487000000000002</v>
      </c>
      <c r="JS55" s="14">
        <v>36.488999999999997</v>
      </c>
      <c r="JT55" s="14">
        <v>36.488999999999997</v>
      </c>
      <c r="JU55" s="14">
        <v>36.976999999999997</v>
      </c>
      <c r="JV55" s="14">
        <v>36.981000000000002</v>
      </c>
      <c r="JW55" s="14">
        <v>36.979999999999997</v>
      </c>
      <c r="JX55" s="14">
        <v>36.978999999999999</v>
      </c>
      <c r="JY55" s="14">
        <v>36.979999999999997</v>
      </c>
      <c r="JZ55" s="14">
        <v>36.487000000000002</v>
      </c>
      <c r="KA55" s="14">
        <v>36.482999999999997</v>
      </c>
      <c r="KB55" s="14">
        <v>36.485999999999997</v>
      </c>
      <c r="KC55" s="14">
        <v>36.488</v>
      </c>
      <c r="KD55" s="14">
        <v>36.484999999999999</v>
      </c>
      <c r="KE55" s="14">
        <v>36.485999999999997</v>
      </c>
      <c r="KF55" s="14">
        <v>36.484000000000002</v>
      </c>
      <c r="KG55" s="14">
        <v>36.484999999999999</v>
      </c>
      <c r="KH55" s="14">
        <v>36.481000000000002</v>
      </c>
      <c r="KI55" s="14">
        <v>36.484000000000002</v>
      </c>
      <c r="KJ55" s="14">
        <v>36.454999999999998</v>
      </c>
      <c r="KK55" s="14">
        <v>36.459000000000003</v>
      </c>
      <c r="KL55" s="14">
        <v>36.462000000000003</v>
      </c>
      <c r="KM55" s="14">
        <v>36.465000000000003</v>
      </c>
      <c r="KN55" s="14">
        <v>36.469000000000001</v>
      </c>
      <c r="KO55" s="14">
        <v>36.469000000000001</v>
      </c>
      <c r="KP55" s="14">
        <v>36.46</v>
      </c>
      <c r="KQ55" s="14">
        <v>36.463999999999999</v>
      </c>
      <c r="KR55" s="14">
        <v>36.463000000000001</v>
      </c>
      <c r="KS55" s="14">
        <v>36.466999999999999</v>
      </c>
      <c r="KT55" s="14"/>
      <c r="KU55" s="14"/>
      <c r="KV55" s="14"/>
      <c r="KW55" s="14"/>
      <c r="KX55" s="14"/>
      <c r="KY55" s="14"/>
      <c r="KZ55" s="14"/>
      <c r="LA55" s="14"/>
      <c r="LB55" s="14"/>
      <c r="LC55" s="14"/>
      <c r="LD55" s="14"/>
      <c r="LE55" s="14"/>
      <c r="LF55" s="14"/>
      <c r="LG55" s="14"/>
      <c r="LH55" s="14"/>
      <c r="LI55" s="14"/>
      <c r="LJ55" s="14"/>
      <c r="LK55" s="14"/>
      <c r="LL55" s="14"/>
      <c r="LM55" s="14"/>
      <c r="LN55" s="22">
        <f t="shared" ref="LN55:LN61" si="9">COUNT(L57:CH57)</f>
        <v>30</v>
      </c>
      <c r="LO55" s="6">
        <f t="shared" ref="LO55:LO61" si="10">AVERAGE(L57:CH57)</f>
        <v>51.861766666666668</v>
      </c>
      <c r="LP55" s="21">
        <f t="shared" ref="LP55:LP61" si="11">STDEVA(L57:CH57)</f>
        <v>7.0056302563370778</v>
      </c>
      <c r="LQ55" s="7">
        <f t="shared" ref="LQ55:LQ61" si="12">(E57-F57)/(6*LP55)</f>
        <v>-4.5201738470326873E-4</v>
      </c>
      <c r="LR55" s="7">
        <f t="shared" ref="LR55:LR61" si="13">(E57-LO55)/(3*LP55)</f>
        <v>0.14617925016117247</v>
      </c>
      <c r="LS55" s="7">
        <f t="shared" ref="LS55:LS61" si="14">(LO55-F57)/(3*LP55)</f>
        <v>-0.14708328493057901</v>
      </c>
      <c r="LT55" s="7">
        <f t="shared" si="7"/>
        <v>-0.14708328493057901</v>
      </c>
    </row>
    <row r="56" spans="1:332">
      <c r="A56" s="21" t="s">
        <v>48</v>
      </c>
      <c r="B56" s="21" t="s">
        <v>67</v>
      </c>
      <c r="C56" s="21" t="s">
        <v>69</v>
      </c>
      <c r="D56" s="21" t="s">
        <v>33</v>
      </c>
      <c r="E56" s="10"/>
      <c r="F56" s="10"/>
      <c r="G56" s="5"/>
      <c r="H56" s="7"/>
      <c r="I56" s="7"/>
      <c r="J56" s="7"/>
      <c r="K56" s="7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>
        <v>54.947000000000003</v>
      </c>
      <c r="BF56" s="5">
        <v>54.941000000000003</v>
      </c>
      <c r="BG56" s="5">
        <v>54.942999999999998</v>
      </c>
      <c r="BH56" s="5">
        <v>54.942</v>
      </c>
      <c r="BI56" s="5">
        <v>54.941000000000003</v>
      </c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13"/>
      <c r="HR56" s="14"/>
      <c r="HS56" s="14"/>
      <c r="HT56" s="14"/>
      <c r="HU56" s="14"/>
      <c r="HV56" s="14"/>
      <c r="HW56" s="14"/>
      <c r="HX56" s="14"/>
      <c r="HY56" s="14"/>
      <c r="HZ56" s="14"/>
      <c r="IA56" s="14"/>
      <c r="IB56" s="11"/>
      <c r="IC56" s="11"/>
      <c r="ID56" s="11"/>
      <c r="IE56" s="11"/>
      <c r="IF56" s="11"/>
      <c r="IG56" s="11"/>
      <c r="IH56" s="11"/>
      <c r="II56" s="11"/>
      <c r="IJ56" s="11"/>
      <c r="IK56" s="11"/>
      <c r="IL56" s="14"/>
      <c r="IM56" s="14"/>
      <c r="IN56" s="14"/>
      <c r="IO56" s="14"/>
      <c r="IP56" s="14"/>
      <c r="IQ56" s="14"/>
      <c r="IR56" s="14"/>
      <c r="IS56" s="14"/>
      <c r="IT56" s="14"/>
      <c r="IU56" s="14"/>
      <c r="IV56" s="14"/>
      <c r="IW56" s="14"/>
      <c r="IX56" s="14"/>
      <c r="IY56" s="14"/>
      <c r="IZ56" s="14"/>
      <c r="JA56" s="14"/>
      <c r="JB56" s="14"/>
      <c r="JC56" s="14"/>
      <c r="JD56" s="14"/>
      <c r="JE56" s="14"/>
      <c r="JF56" s="14"/>
      <c r="JG56" s="14"/>
      <c r="JH56" s="14"/>
      <c r="JI56" s="14"/>
      <c r="JJ56" s="14"/>
      <c r="JK56" s="14"/>
      <c r="JL56" s="14"/>
      <c r="JM56" s="14"/>
      <c r="JN56" s="14"/>
      <c r="JO56" s="14"/>
      <c r="JP56" s="14"/>
      <c r="JQ56" s="14"/>
      <c r="JR56" s="14"/>
      <c r="JS56" s="14"/>
      <c r="JT56" s="14"/>
      <c r="JU56" s="14"/>
      <c r="JV56" s="14"/>
      <c r="JW56" s="14"/>
      <c r="JX56" s="14"/>
      <c r="JY56" s="14"/>
      <c r="JZ56" s="14"/>
      <c r="KA56" s="14"/>
      <c r="KB56" s="14"/>
      <c r="KC56" s="14"/>
      <c r="KD56" s="14"/>
      <c r="KE56" s="14"/>
      <c r="KF56" s="14"/>
      <c r="KG56" s="14"/>
      <c r="KH56" s="14"/>
      <c r="KI56" s="14"/>
      <c r="KJ56" s="14"/>
      <c r="KK56" s="14"/>
      <c r="KL56" s="14"/>
      <c r="KM56" s="14"/>
      <c r="KN56" s="14"/>
      <c r="KO56" s="14"/>
      <c r="KP56" s="14"/>
      <c r="KQ56" s="14"/>
      <c r="KR56" s="14"/>
      <c r="KS56" s="14"/>
      <c r="KT56" s="14"/>
      <c r="KU56" s="14"/>
      <c r="KV56" s="14"/>
      <c r="KW56" s="14"/>
      <c r="KX56" s="14"/>
      <c r="KY56" s="14"/>
      <c r="KZ56" s="14"/>
      <c r="LA56" s="14"/>
      <c r="LB56" s="14"/>
      <c r="LC56" s="14"/>
      <c r="LD56" s="14"/>
      <c r="LE56" s="14"/>
      <c r="LF56" s="14"/>
      <c r="LG56" s="14"/>
      <c r="LH56" s="14"/>
      <c r="LI56" s="14"/>
      <c r="LJ56" s="14"/>
      <c r="LK56" s="14"/>
      <c r="LL56" s="14"/>
      <c r="LM56" s="14"/>
      <c r="LN56" s="22">
        <f t="shared" si="9"/>
        <v>10</v>
      </c>
      <c r="LO56" s="6">
        <f t="shared" si="10"/>
        <v>9.9375</v>
      </c>
      <c r="LP56" s="21">
        <f t="shared" si="11"/>
        <v>1.4238055422782283E-2</v>
      </c>
      <c r="LQ56" s="7">
        <f t="shared" si="12"/>
        <v>0.2341143670504259</v>
      </c>
      <c r="LR56" s="7">
        <f t="shared" si="13"/>
        <v>0.5267573258634427</v>
      </c>
      <c r="LS56" s="7">
        <f t="shared" si="14"/>
        <v>-5.8528591762590877E-2</v>
      </c>
      <c r="LT56" s="7">
        <f t="shared" si="7"/>
        <v>-5.8528591762590877E-2</v>
      </c>
    </row>
    <row r="57" spans="1:332">
      <c r="A57" s="21" t="s">
        <v>48</v>
      </c>
      <c r="B57" s="21" t="s">
        <v>67</v>
      </c>
      <c r="C57" s="21" t="s">
        <v>70</v>
      </c>
      <c r="D57" s="21" t="s">
        <v>52</v>
      </c>
      <c r="E57" s="5">
        <v>54.933999999999997</v>
      </c>
      <c r="F57" s="5">
        <v>54.953000000000003</v>
      </c>
      <c r="G57" s="5">
        <f t="shared" si="0"/>
        <v>54.9435</v>
      </c>
      <c r="H57" s="7"/>
      <c r="I57" s="7"/>
      <c r="J57" s="7"/>
      <c r="K57" s="7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>
        <v>54.944000000000003</v>
      </c>
      <c r="AG57" s="5">
        <v>54.941000000000003</v>
      </c>
      <c r="AH57" s="5">
        <v>54.945999999999998</v>
      </c>
      <c r="AI57" s="5">
        <v>54.945</v>
      </c>
      <c r="AJ57" s="5">
        <v>54.942999999999998</v>
      </c>
      <c r="AK57" s="5">
        <v>54.945</v>
      </c>
      <c r="AL57" s="5">
        <v>54.935000000000002</v>
      </c>
      <c r="AM57" s="5">
        <v>54.939</v>
      </c>
      <c r="AN57" s="5">
        <v>54.936</v>
      </c>
      <c r="AO57" s="5">
        <v>54.94</v>
      </c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>
        <v>36.457000000000001</v>
      </c>
      <c r="BF57" s="5">
        <v>36.463000000000001</v>
      </c>
      <c r="BG57" s="5">
        <v>36.459000000000003</v>
      </c>
      <c r="BH57" s="5">
        <v>36.460999999999999</v>
      </c>
      <c r="BI57" s="5">
        <v>36.46</v>
      </c>
      <c r="BJ57" s="5"/>
      <c r="BK57" s="5"/>
      <c r="BL57" s="5"/>
      <c r="BM57" s="5"/>
      <c r="BN57" s="5"/>
      <c r="BO57" s="5">
        <v>54.948</v>
      </c>
      <c r="BP57" s="5">
        <v>54.944000000000003</v>
      </c>
      <c r="BQ57" s="5">
        <v>54.939</v>
      </c>
      <c r="BR57" s="5">
        <v>54.945999999999998</v>
      </c>
      <c r="BS57" s="5">
        <v>54.947000000000003</v>
      </c>
      <c r="BT57" s="5">
        <v>54.942</v>
      </c>
      <c r="BU57" s="5">
        <v>54.939</v>
      </c>
      <c r="BV57" s="5">
        <v>54.944000000000003</v>
      </c>
      <c r="BW57" s="5">
        <v>54.94</v>
      </c>
      <c r="BX57" s="5">
        <v>54.938000000000002</v>
      </c>
      <c r="BY57" s="5"/>
      <c r="BZ57" s="5"/>
      <c r="CA57" s="5"/>
      <c r="CB57" s="5"/>
      <c r="CC57" s="5"/>
      <c r="CD57" s="5">
        <v>54.945</v>
      </c>
      <c r="CE57" s="5">
        <v>54.944000000000003</v>
      </c>
      <c r="CF57" s="5">
        <v>54.941000000000003</v>
      </c>
      <c r="CG57" s="5">
        <v>54.942999999999998</v>
      </c>
      <c r="CH57" s="5">
        <v>54.939</v>
      </c>
      <c r="CI57" s="5">
        <v>54.941000000000003</v>
      </c>
      <c r="CJ57" s="5">
        <v>54.942999999999998</v>
      </c>
      <c r="CK57" s="5">
        <v>54.945</v>
      </c>
      <c r="CL57" s="5">
        <v>54.939</v>
      </c>
      <c r="CM57" s="5">
        <v>54.938000000000002</v>
      </c>
      <c r="CN57" s="5">
        <v>54.944000000000003</v>
      </c>
      <c r="CO57" s="5">
        <v>54.939</v>
      </c>
      <c r="CP57" s="5">
        <v>54.94</v>
      </c>
      <c r="CQ57" s="5">
        <v>54.942999999999998</v>
      </c>
      <c r="CR57" s="5">
        <v>54.94</v>
      </c>
      <c r="CS57" s="5"/>
      <c r="CT57" s="5"/>
      <c r="CU57" s="5"/>
      <c r="CV57" s="5"/>
      <c r="CW57" s="5"/>
      <c r="CX57" s="5">
        <v>54.936</v>
      </c>
      <c r="CY57" s="5">
        <v>54.94</v>
      </c>
      <c r="CZ57" s="5">
        <v>54.94</v>
      </c>
      <c r="DA57" s="5">
        <v>54.942999999999998</v>
      </c>
      <c r="DB57" s="5">
        <v>54.945999999999998</v>
      </c>
      <c r="DC57" s="5">
        <v>54.94</v>
      </c>
      <c r="DD57" s="5">
        <v>54.94</v>
      </c>
      <c r="DE57" s="5">
        <v>54.938000000000002</v>
      </c>
      <c r="DF57" s="5">
        <v>54.941000000000003</v>
      </c>
      <c r="DG57" s="5">
        <v>54.94</v>
      </c>
      <c r="DH57" s="5">
        <v>54.936999999999998</v>
      </c>
      <c r="DI57" s="5">
        <v>54.935000000000002</v>
      </c>
      <c r="DJ57" s="5">
        <v>54.939</v>
      </c>
      <c r="DK57" s="5">
        <v>54.941000000000003</v>
      </c>
      <c r="DL57" s="5">
        <v>54.94</v>
      </c>
      <c r="DM57" s="5">
        <v>54.942</v>
      </c>
      <c r="DN57" s="5">
        <v>54.94</v>
      </c>
      <c r="DO57" s="5">
        <v>54.939</v>
      </c>
      <c r="DP57" s="5">
        <v>54.942999999999998</v>
      </c>
      <c r="DQ57" s="5">
        <v>54.94</v>
      </c>
      <c r="DR57" s="5">
        <v>54.941000000000003</v>
      </c>
      <c r="DS57" s="5">
        <v>54.945</v>
      </c>
      <c r="DT57" s="5">
        <v>54.942999999999998</v>
      </c>
      <c r="DU57" s="5">
        <v>54.942</v>
      </c>
      <c r="DV57" s="5">
        <v>54.945999999999998</v>
      </c>
      <c r="DW57" s="5">
        <v>54.942</v>
      </c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>
        <v>54.94</v>
      </c>
      <c r="HM57" s="5">
        <v>54.944000000000003</v>
      </c>
      <c r="HN57" s="5">
        <v>54.942</v>
      </c>
      <c r="HO57" s="5">
        <v>54.94</v>
      </c>
      <c r="HP57" s="5">
        <v>54.94</v>
      </c>
      <c r="HQ57" s="13">
        <v>54.936</v>
      </c>
      <c r="HR57" s="14">
        <v>54.938000000000002</v>
      </c>
      <c r="HS57" s="14">
        <v>54.941000000000003</v>
      </c>
      <c r="HT57" s="14">
        <v>54.933999999999997</v>
      </c>
      <c r="HU57" s="14"/>
      <c r="HV57" s="14"/>
      <c r="HW57" s="14"/>
      <c r="HX57" s="14"/>
      <c r="HY57" s="14"/>
      <c r="HZ57" s="14"/>
      <c r="IA57" s="14"/>
      <c r="IB57" s="11"/>
      <c r="IC57" s="11"/>
      <c r="ID57" s="11"/>
      <c r="IE57" s="11"/>
      <c r="IF57" s="11"/>
      <c r="IG57" s="11"/>
      <c r="IH57" s="11"/>
      <c r="II57" s="11"/>
      <c r="IJ57" s="11"/>
      <c r="IK57" s="11"/>
      <c r="IL57" s="14">
        <v>54.936999999999998</v>
      </c>
      <c r="IM57" s="14">
        <v>54.942999999999998</v>
      </c>
      <c r="IN57" s="14">
        <v>54.945</v>
      </c>
      <c r="IO57" s="14">
        <v>54.942</v>
      </c>
      <c r="IP57" s="14">
        <v>54.94</v>
      </c>
      <c r="IQ57" s="14">
        <v>54.936999999999998</v>
      </c>
      <c r="IR57" s="14">
        <v>54.935000000000002</v>
      </c>
      <c r="IS57" s="14">
        <v>54.936</v>
      </c>
      <c r="IT57" s="14">
        <v>54.936999999999998</v>
      </c>
      <c r="IU57" s="14">
        <v>54.938000000000002</v>
      </c>
      <c r="IV57" s="14">
        <v>54.94</v>
      </c>
      <c r="IW57" s="14">
        <v>54.942</v>
      </c>
      <c r="IX57" s="14">
        <v>54.945</v>
      </c>
      <c r="IY57" s="14">
        <v>54.941000000000003</v>
      </c>
      <c r="IZ57" s="14">
        <v>54.942999999999998</v>
      </c>
      <c r="JA57" s="14"/>
      <c r="JB57" s="14"/>
      <c r="JC57" s="14"/>
      <c r="JD57" s="14"/>
      <c r="JE57" s="14"/>
      <c r="JF57" s="14">
        <v>54.94</v>
      </c>
      <c r="JG57" s="14">
        <v>54.939</v>
      </c>
      <c r="JH57" s="14">
        <v>54.942999999999998</v>
      </c>
      <c r="JI57" s="14">
        <v>54.945999999999998</v>
      </c>
      <c r="JJ57" s="14">
        <v>54.945</v>
      </c>
      <c r="JK57" s="14">
        <v>54.944000000000003</v>
      </c>
      <c r="JL57" s="14">
        <v>54.945999999999998</v>
      </c>
      <c r="JM57" s="14">
        <v>54.941000000000003</v>
      </c>
      <c r="JN57" s="14">
        <v>54.942999999999998</v>
      </c>
      <c r="JO57" s="14">
        <v>54.945999999999998</v>
      </c>
      <c r="JP57" s="14">
        <v>54.939</v>
      </c>
      <c r="JQ57" s="14">
        <v>54.942999999999998</v>
      </c>
      <c r="JR57" s="14">
        <v>54.938000000000002</v>
      </c>
      <c r="JS57" s="14">
        <v>54.942</v>
      </c>
      <c r="JT57" s="14">
        <v>54.94</v>
      </c>
      <c r="JU57" s="14">
        <v>54.951000000000001</v>
      </c>
      <c r="JV57" s="14">
        <v>54.948999999999998</v>
      </c>
      <c r="JW57" s="14">
        <v>54.942</v>
      </c>
      <c r="JX57" s="14">
        <v>54.95</v>
      </c>
      <c r="JY57" s="14">
        <v>54.95</v>
      </c>
      <c r="JZ57" s="14">
        <v>54.944000000000003</v>
      </c>
      <c r="KA57" s="14">
        <v>54.945</v>
      </c>
      <c r="KB57" s="14">
        <v>54.942999999999998</v>
      </c>
      <c r="KC57" s="14">
        <v>54.945</v>
      </c>
      <c r="KD57" s="14">
        <v>54.948</v>
      </c>
      <c r="KE57" s="14">
        <v>54.933999999999997</v>
      </c>
      <c r="KF57" s="14">
        <v>54.936</v>
      </c>
      <c r="KG57" s="14">
        <v>54.936999999999998</v>
      </c>
      <c r="KH57" s="14">
        <v>54.936</v>
      </c>
      <c r="KI57" s="14">
        <v>54.935000000000002</v>
      </c>
      <c r="KJ57" s="14">
        <v>54.941000000000003</v>
      </c>
      <c r="KK57" s="14">
        <v>54.942999999999998</v>
      </c>
      <c r="KL57" s="14">
        <v>54.941000000000003</v>
      </c>
      <c r="KM57" s="14">
        <v>54.942</v>
      </c>
      <c r="KN57" s="14">
        <v>54.942999999999998</v>
      </c>
      <c r="KO57" s="14">
        <v>54.944000000000003</v>
      </c>
      <c r="KP57" s="14">
        <v>54.945</v>
      </c>
      <c r="KQ57" s="14">
        <v>54.945999999999998</v>
      </c>
      <c r="KR57" s="14">
        <v>54.942999999999998</v>
      </c>
      <c r="KS57" s="14">
        <v>54.945999999999998</v>
      </c>
      <c r="KT57" s="14"/>
      <c r="KU57" s="14"/>
      <c r="KV57" s="14"/>
      <c r="KW57" s="14"/>
      <c r="KX57" s="14"/>
      <c r="KY57" s="14"/>
      <c r="KZ57" s="14"/>
      <c r="LA57" s="14"/>
      <c r="LB57" s="14"/>
      <c r="LC57" s="14"/>
      <c r="LD57" s="14"/>
      <c r="LE57" s="14"/>
      <c r="LF57" s="14"/>
      <c r="LG57" s="14"/>
      <c r="LH57" s="14"/>
      <c r="LI57" s="14"/>
      <c r="LJ57" s="14"/>
      <c r="LK57" s="14"/>
      <c r="LL57" s="14"/>
      <c r="LM57" s="14"/>
      <c r="LN57" s="22">
        <f t="shared" si="9"/>
        <v>30</v>
      </c>
      <c r="LO57" s="6">
        <f t="shared" si="10"/>
        <v>29.940583333333333</v>
      </c>
      <c r="LP57" s="21">
        <f t="shared" si="11"/>
        <v>0.10300753934018408</v>
      </c>
      <c r="LQ57" s="7">
        <f t="shared" si="12"/>
        <v>1.941605452194177E-2</v>
      </c>
      <c r="LR57" s="7">
        <f t="shared" si="13"/>
        <v>8.5484573381321843E-2</v>
      </c>
      <c r="LS57" s="7">
        <f t="shared" si="14"/>
        <v>-4.6652464337438304E-2</v>
      </c>
      <c r="LT57" s="7">
        <f t="shared" si="7"/>
        <v>-4.6652464337438304E-2</v>
      </c>
    </row>
    <row r="58" spans="1:332">
      <c r="A58" s="21" t="s">
        <v>48</v>
      </c>
      <c r="B58" s="21" t="s">
        <v>71</v>
      </c>
      <c r="C58" s="21" t="s">
        <v>72</v>
      </c>
      <c r="D58" s="21" t="s">
        <v>65</v>
      </c>
      <c r="E58" s="5">
        <v>9.9600000000000009</v>
      </c>
      <c r="F58" s="5">
        <v>9.94</v>
      </c>
      <c r="G58" s="5">
        <f t="shared" si="0"/>
        <v>9.9499999999999993</v>
      </c>
      <c r="H58" s="7"/>
      <c r="I58" s="7"/>
      <c r="J58" s="7"/>
      <c r="K58" s="7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>
        <v>9.9130000000000003</v>
      </c>
      <c r="AQ58" s="5">
        <v>9.9290000000000003</v>
      </c>
      <c r="AR58" s="5">
        <v>9.9350000000000005</v>
      </c>
      <c r="AS58" s="5">
        <v>9.93</v>
      </c>
      <c r="AT58" s="5">
        <v>9.92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>
        <v>9.9469999999999992</v>
      </c>
      <c r="BF58" s="5">
        <v>9.9510000000000005</v>
      </c>
      <c r="BG58" s="5">
        <v>9.9489999999999998</v>
      </c>
      <c r="BH58" s="5">
        <v>9.9550000000000001</v>
      </c>
      <c r="BI58" s="5">
        <v>9.9459999999999997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13"/>
      <c r="HR58" s="14"/>
      <c r="HS58" s="14"/>
      <c r="HT58" s="14"/>
      <c r="HU58" s="14"/>
      <c r="HV58" s="14"/>
      <c r="HW58" s="14"/>
      <c r="HX58" s="14"/>
      <c r="HY58" s="14"/>
      <c r="HZ58" s="14"/>
      <c r="IA58" s="14"/>
      <c r="IB58" s="11"/>
      <c r="IC58" s="11"/>
      <c r="ID58" s="11"/>
      <c r="IE58" s="11"/>
      <c r="IF58" s="11"/>
      <c r="IG58" s="11"/>
      <c r="IH58" s="11"/>
      <c r="II58" s="11"/>
      <c r="IJ58" s="11"/>
      <c r="IK58" s="11"/>
      <c r="IL58" s="14"/>
      <c r="IM58" s="14"/>
      <c r="IN58" s="14"/>
      <c r="IO58" s="14"/>
      <c r="IP58" s="14"/>
      <c r="IQ58" s="14"/>
      <c r="IR58" s="14"/>
      <c r="IS58" s="14"/>
      <c r="IT58" s="14"/>
      <c r="IU58" s="14"/>
      <c r="IV58" s="14"/>
      <c r="IW58" s="14"/>
      <c r="IX58" s="14"/>
      <c r="IY58" s="14"/>
      <c r="IZ58" s="14"/>
      <c r="JA58" s="14"/>
      <c r="JB58" s="14"/>
      <c r="JC58" s="14"/>
      <c r="JD58" s="14"/>
      <c r="JE58" s="14"/>
      <c r="JF58" s="14"/>
      <c r="JG58" s="14"/>
      <c r="JH58" s="14"/>
      <c r="JI58" s="14"/>
      <c r="JJ58" s="14"/>
      <c r="JK58" s="14"/>
      <c r="JL58" s="14"/>
      <c r="JM58" s="14"/>
      <c r="JN58" s="14"/>
      <c r="JO58" s="14"/>
      <c r="JP58" s="14"/>
      <c r="JQ58" s="14"/>
      <c r="JR58" s="14"/>
      <c r="JS58" s="14"/>
      <c r="JT58" s="14"/>
      <c r="JU58" s="14"/>
      <c r="JV58" s="14"/>
      <c r="JW58" s="14"/>
      <c r="JX58" s="14"/>
      <c r="JY58" s="14"/>
      <c r="JZ58" s="14"/>
      <c r="KA58" s="14"/>
      <c r="KB58" s="14"/>
      <c r="KC58" s="14"/>
      <c r="KD58" s="14"/>
      <c r="KE58" s="14"/>
      <c r="KF58" s="14"/>
      <c r="KG58" s="14"/>
      <c r="KH58" s="14"/>
      <c r="KI58" s="14"/>
      <c r="KJ58" s="14"/>
      <c r="KK58" s="14"/>
      <c r="KL58" s="14"/>
      <c r="KM58" s="14"/>
      <c r="KN58" s="14"/>
      <c r="KO58" s="14">
        <v>9.952</v>
      </c>
      <c r="KP58" s="14">
        <v>9.9529999999999994</v>
      </c>
      <c r="KQ58" s="14">
        <v>9.9540000000000006</v>
      </c>
      <c r="KR58" s="14">
        <v>9.9550000000000001</v>
      </c>
      <c r="KS58" s="14">
        <v>9.9559999999999995</v>
      </c>
      <c r="KT58" s="14"/>
      <c r="KU58" s="14"/>
      <c r="KV58" s="14"/>
      <c r="KW58" s="14"/>
      <c r="KX58" s="14"/>
      <c r="KY58" s="14"/>
      <c r="KZ58" s="14"/>
      <c r="LA58" s="14"/>
      <c r="LB58" s="14"/>
      <c r="LC58" s="14"/>
      <c r="LD58" s="14"/>
      <c r="LE58" s="14"/>
      <c r="LF58" s="14"/>
      <c r="LG58" s="14"/>
      <c r="LH58" s="14"/>
      <c r="LI58" s="14"/>
      <c r="LJ58" s="14"/>
      <c r="LK58" s="14"/>
      <c r="LL58" s="14"/>
      <c r="LM58" s="14"/>
      <c r="LN58" s="22">
        <f t="shared" si="9"/>
        <v>25</v>
      </c>
      <c r="LO58" s="6">
        <f t="shared" si="10"/>
        <v>29.840040000000002</v>
      </c>
      <c r="LP58" s="21">
        <f t="shared" si="11"/>
        <v>0.59939292065664518</v>
      </c>
      <c r="LQ58" s="7">
        <f t="shared" si="12"/>
        <v>5.5611823537747799E-3</v>
      </c>
      <c r="LR58" s="7">
        <f t="shared" si="13"/>
        <v>7.2273125869656896E-2</v>
      </c>
      <c r="LS58" s="7">
        <f t="shared" si="14"/>
        <v>-6.1150761162107339E-2</v>
      </c>
      <c r="LT58" s="7">
        <f t="shared" si="7"/>
        <v>-6.1150761162107339E-2</v>
      </c>
    </row>
    <row r="59" spans="1:332">
      <c r="A59" s="21" t="s">
        <v>48</v>
      </c>
      <c r="B59" s="21" t="s">
        <v>71</v>
      </c>
      <c r="C59" s="21" t="s">
        <v>72</v>
      </c>
      <c r="D59" s="21" t="s">
        <v>52</v>
      </c>
      <c r="E59" s="20">
        <v>29.966999999999999</v>
      </c>
      <c r="F59" s="20">
        <v>29.954999999999998</v>
      </c>
      <c r="G59" s="5">
        <f t="shared" si="0"/>
        <v>29.960999999999999</v>
      </c>
      <c r="H59" s="7"/>
      <c r="I59" s="7"/>
      <c r="J59" s="7"/>
      <c r="K59" s="7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>
        <v>29.957000000000001</v>
      </c>
      <c r="AQ59" s="5">
        <v>29.395499999999998</v>
      </c>
      <c r="AR59" s="5">
        <v>29.946999999999999</v>
      </c>
      <c r="AS59" s="5">
        <v>29.952000000000002</v>
      </c>
      <c r="AT59" s="5">
        <v>29.954999999999998</v>
      </c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>
        <v>29.957999999999998</v>
      </c>
      <c r="BF59" s="5">
        <v>29.963999999999999</v>
      </c>
      <c r="BG59" s="5">
        <v>29.960999999999999</v>
      </c>
      <c r="BH59" s="5">
        <v>29.957000000000001</v>
      </c>
      <c r="BI59" s="5">
        <v>29.963000000000001</v>
      </c>
      <c r="BJ59" s="5"/>
      <c r="BK59" s="5"/>
      <c r="BL59" s="5"/>
      <c r="BM59" s="5"/>
      <c r="BN59" s="5"/>
      <c r="BO59" s="5">
        <v>29.96</v>
      </c>
      <c r="BP59" s="5">
        <v>29.959</v>
      </c>
      <c r="BQ59" s="5">
        <v>29.957000000000001</v>
      </c>
      <c r="BR59" s="5">
        <v>29.960999999999999</v>
      </c>
      <c r="BS59" s="5">
        <v>29.959</v>
      </c>
      <c r="BT59" s="5">
        <v>29.96</v>
      </c>
      <c r="BU59" s="5">
        <v>29.962</v>
      </c>
      <c r="BV59" s="5">
        <v>29.960999999999999</v>
      </c>
      <c r="BW59" s="5">
        <v>29.96</v>
      </c>
      <c r="BX59" s="5">
        <v>29.962</v>
      </c>
      <c r="BY59" s="5">
        <v>29.960999999999999</v>
      </c>
      <c r="BZ59" s="5">
        <v>29.96</v>
      </c>
      <c r="CA59" s="5">
        <v>29.960999999999999</v>
      </c>
      <c r="CB59" s="5">
        <v>29.962</v>
      </c>
      <c r="CC59" s="5">
        <v>29.963999999999999</v>
      </c>
      <c r="CD59" s="5">
        <v>29.957999999999998</v>
      </c>
      <c r="CE59" s="5">
        <v>29.960999999999999</v>
      </c>
      <c r="CF59" s="5">
        <v>29.96</v>
      </c>
      <c r="CG59" s="5">
        <v>29.960999999999999</v>
      </c>
      <c r="CH59" s="5">
        <v>29.959</v>
      </c>
      <c r="CI59" s="5">
        <v>29.959</v>
      </c>
      <c r="CJ59" s="5">
        <v>29.963000000000001</v>
      </c>
      <c r="CK59" s="5">
        <v>29.96</v>
      </c>
      <c r="CL59" s="5">
        <v>29.960999999999999</v>
      </c>
      <c r="CM59" s="5">
        <v>29.957999999999998</v>
      </c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>
        <v>29.963999999999999</v>
      </c>
      <c r="DI59" s="5">
        <v>29.960999999999999</v>
      </c>
      <c r="DJ59" s="5">
        <v>29.959</v>
      </c>
      <c r="DK59" s="5">
        <v>29.962</v>
      </c>
      <c r="DL59" s="5">
        <v>29.959</v>
      </c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>
        <v>29.963000000000001</v>
      </c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>
        <v>29.96</v>
      </c>
      <c r="HM59" s="5">
        <v>29.960999999999999</v>
      </c>
      <c r="HN59" s="5">
        <v>29.959</v>
      </c>
      <c r="HO59" s="5">
        <v>29.96</v>
      </c>
      <c r="HP59" s="5">
        <v>29.962</v>
      </c>
      <c r="HQ59" s="13">
        <v>29.96</v>
      </c>
      <c r="HR59" s="14">
        <v>29.959</v>
      </c>
      <c r="HS59" s="14">
        <v>29.957999999999998</v>
      </c>
      <c r="HT59" s="14">
        <v>29.96</v>
      </c>
      <c r="HU59" s="14"/>
      <c r="HV59" s="14"/>
      <c r="HW59" s="14"/>
      <c r="HX59" s="14"/>
      <c r="HY59" s="14"/>
      <c r="HZ59" s="14"/>
      <c r="IA59" s="14"/>
      <c r="IB59" s="11"/>
      <c r="IC59" s="11"/>
      <c r="ID59" s="11"/>
      <c r="IE59" s="11"/>
      <c r="IF59" s="11"/>
      <c r="IG59" s="11"/>
      <c r="IH59" s="11"/>
      <c r="II59" s="11"/>
      <c r="IJ59" s="11"/>
      <c r="IK59" s="11"/>
      <c r="IL59" s="14"/>
      <c r="IM59" s="14"/>
      <c r="IN59" s="14"/>
      <c r="IO59" s="14"/>
      <c r="IP59" s="14"/>
      <c r="IQ59" s="14"/>
      <c r="IR59" s="14"/>
      <c r="IS59" s="14"/>
      <c r="IT59" s="14"/>
      <c r="IU59" s="14"/>
      <c r="IV59" s="14"/>
      <c r="IW59" s="14"/>
      <c r="IX59" s="14"/>
      <c r="IY59" s="14"/>
      <c r="IZ59" s="14"/>
      <c r="JA59" s="14"/>
      <c r="JB59" s="14"/>
      <c r="JC59" s="14"/>
      <c r="JD59" s="14"/>
      <c r="JE59" s="14"/>
      <c r="JF59" s="14"/>
      <c r="JG59" s="14"/>
      <c r="JH59" s="14"/>
      <c r="JI59" s="14"/>
      <c r="JJ59" s="14"/>
      <c r="JK59" s="14"/>
      <c r="JL59" s="14"/>
      <c r="JM59" s="14"/>
      <c r="JN59" s="14"/>
      <c r="JO59" s="14"/>
      <c r="JP59" s="14"/>
      <c r="JQ59" s="14"/>
      <c r="JR59" s="14"/>
      <c r="JS59" s="14"/>
      <c r="JT59" s="14"/>
      <c r="JU59" s="14"/>
      <c r="JV59" s="14"/>
      <c r="JW59" s="14"/>
      <c r="JX59" s="14"/>
      <c r="JY59" s="14"/>
      <c r="JZ59" s="14"/>
      <c r="KA59" s="14"/>
      <c r="KB59" s="14"/>
      <c r="KC59" s="14"/>
      <c r="KD59" s="14"/>
      <c r="KE59" s="14"/>
      <c r="KF59" s="14"/>
      <c r="KG59" s="14"/>
      <c r="KH59" s="14"/>
      <c r="KI59" s="14"/>
      <c r="KJ59" s="14"/>
      <c r="KK59" s="14"/>
      <c r="KL59" s="14"/>
      <c r="KM59" s="14"/>
      <c r="KN59" s="14"/>
      <c r="KO59" s="14">
        <v>26.952999999999999</v>
      </c>
      <c r="KP59" s="14">
        <v>26.957999999999998</v>
      </c>
      <c r="KQ59" s="14">
        <v>26.959</v>
      </c>
      <c r="KR59" s="14">
        <v>26.957000000000001</v>
      </c>
      <c r="KS59" s="14">
        <v>26.954999999999998</v>
      </c>
      <c r="KT59" s="14"/>
      <c r="KU59" s="14"/>
      <c r="KV59" s="14"/>
      <c r="KW59" s="14"/>
      <c r="KX59" s="14"/>
      <c r="KY59" s="14"/>
      <c r="KZ59" s="14"/>
      <c r="LA59" s="14"/>
      <c r="LB59" s="14"/>
      <c r="LC59" s="14"/>
      <c r="LD59" s="14"/>
      <c r="LE59" s="14"/>
      <c r="LF59" s="14"/>
      <c r="LG59" s="14"/>
      <c r="LH59" s="14"/>
      <c r="LI59" s="14"/>
      <c r="LJ59" s="14"/>
      <c r="LK59" s="14"/>
      <c r="LL59" s="14"/>
      <c r="LM59" s="14"/>
      <c r="LN59" s="22">
        <f t="shared" si="9"/>
        <v>25</v>
      </c>
      <c r="LO59" s="6">
        <f t="shared" si="10"/>
        <v>36.493200000000002</v>
      </c>
      <c r="LP59" s="21">
        <f t="shared" si="11"/>
        <v>6.2583277851728653E-3</v>
      </c>
      <c r="LQ59" s="7">
        <f t="shared" si="12"/>
        <v>0.66577955161428537</v>
      </c>
      <c r="LR59" s="7">
        <f t="shared" si="13"/>
        <v>1.1078571738859861</v>
      </c>
      <c r="LS59" s="7">
        <f t="shared" si="14"/>
        <v>0.22370192934258457</v>
      </c>
      <c r="LT59" s="7">
        <f t="shared" si="7"/>
        <v>0.22370192934258457</v>
      </c>
    </row>
    <row r="60" spans="1:332">
      <c r="A60" s="21" t="s">
        <v>48</v>
      </c>
      <c r="B60" s="21" t="s">
        <v>73</v>
      </c>
      <c r="C60" s="21" t="s">
        <v>106</v>
      </c>
      <c r="D60" s="21" t="s">
        <v>52</v>
      </c>
      <c r="E60" s="5">
        <v>29.97</v>
      </c>
      <c r="F60" s="5">
        <v>29.95</v>
      </c>
      <c r="G60" s="5">
        <f t="shared" si="0"/>
        <v>29.96</v>
      </c>
      <c r="H60" s="7"/>
      <c r="I60" s="7"/>
      <c r="J60" s="7"/>
      <c r="K60" s="7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>
        <v>29.954999999999998</v>
      </c>
      <c r="AQ60" s="5">
        <v>29.957000000000001</v>
      </c>
      <c r="AR60" s="5">
        <v>29.96</v>
      </c>
      <c r="AS60" s="5">
        <v>29.957000000000001</v>
      </c>
      <c r="AT60" s="5">
        <v>29.965</v>
      </c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>
        <v>29.954999999999998</v>
      </c>
      <c r="BP60" s="5">
        <v>29.957999999999998</v>
      </c>
      <c r="BQ60" s="5">
        <v>29.96</v>
      </c>
      <c r="BR60" s="5">
        <v>26.963000000000001</v>
      </c>
      <c r="BS60" s="5">
        <v>29.956</v>
      </c>
      <c r="BT60" s="5">
        <v>29.957000000000001</v>
      </c>
      <c r="BU60" s="5">
        <v>29.963000000000001</v>
      </c>
      <c r="BV60" s="5">
        <v>29.96</v>
      </c>
      <c r="BW60" s="5">
        <v>29.959</v>
      </c>
      <c r="BX60" s="5">
        <v>29.959</v>
      </c>
      <c r="BY60" s="5">
        <v>29.959</v>
      </c>
      <c r="BZ60" s="5">
        <v>29.960999999999999</v>
      </c>
      <c r="CA60" s="5">
        <v>29.957999999999998</v>
      </c>
      <c r="CB60" s="5">
        <v>29.963000000000001</v>
      </c>
      <c r="CC60" s="5">
        <v>29.96</v>
      </c>
      <c r="CD60" s="5">
        <v>29.957000000000001</v>
      </c>
      <c r="CE60" s="5">
        <v>29.965</v>
      </c>
      <c r="CF60" s="5">
        <v>29.969000000000001</v>
      </c>
      <c r="CG60" s="5">
        <v>29.963000000000001</v>
      </c>
      <c r="CH60" s="5">
        <v>29.962</v>
      </c>
      <c r="CI60" s="5">
        <v>29.959</v>
      </c>
      <c r="CJ60" s="5">
        <v>29.963000000000001</v>
      </c>
      <c r="CK60" s="5">
        <v>29.960999999999999</v>
      </c>
      <c r="CL60" s="5">
        <v>29.962</v>
      </c>
      <c r="CM60" s="5">
        <v>29.96</v>
      </c>
      <c r="CN60" s="5">
        <v>29.952000000000002</v>
      </c>
      <c r="CO60" s="5">
        <v>29.959</v>
      </c>
      <c r="CP60" s="5">
        <v>29.957000000000001</v>
      </c>
      <c r="CQ60" s="5">
        <v>29.957999999999998</v>
      </c>
      <c r="CR60" s="5">
        <v>29.96</v>
      </c>
      <c r="CS60" s="5"/>
      <c r="CT60" s="5"/>
      <c r="CU60" s="5"/>
      <c r="CV60" s="5"/>
      <c r="CW60" s="5"/>
      <c r="CX60" s="5">
        <v>29.96</v>
      </c>
      <c r="CY60" s="5">
        <v>29.952999999999999</v>
      </c>
      <c r="CZ60" s="5">
        <v>29.956</v>
      </c>
      <c r="DA60" s="5">
        <v>29.963000000000001</v>
      </c>
      <c r="DB60" s="5">
        <v>29.957999999999998</v>
      </c>
      <c r="DC60" s="5">
        <v>29.954000000000001</v>
      </c>
      <c r="DD60" s="5">
        <v>29.954999999999998</v>
      </c>
      <c r="DE60" s="5">
        <v>29.954000000000001</v>
      </c>
      <c r="DF60" s="5">
        <v>29.957000000000001</v>
      </c>
      <c r="DG60" s="5">
        <v>29.956</v>
      </c>
      <c r="DH60" s="5">
        <v>29.95</v>
      </c>
      <c r="DI60" s="5">
        <v>29.946999999999999</v>
      </c>
      <c r="DJ60" s="5">
        <v>29.951000000000001</v>
      </c>
      <c r="DK60" s="5">
        <v>29.956</v>
      </c>
      <c r="DL60" s="5">
        <v>29.954000000000001</v>
      </c>
      <c r="DM60" s="5"/>
      <c r="DN60" s="5"/>
      <c r="DO60" s="5"/>
      <c r="DP60" s="5"/>
      <c r="DQ60" s="5"/>
      <c r="DR60" s="5">
        <v>29.96</v>
      </c>
      <c r="DS60" s="5">
        <v>29.954999999999998</v>
      </c>
      <c r="DT60" s="5">
        <v>29.962</v>
      </c>
      <c r="DU60" s="5">
        <v>29.957999999999998</v>
      </c>
      <c r="DV60" s="5">
        <v>29.965</v>
      </c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>
        <v>29.962</v>
      </c>
      <c r="HQ60" s="13">
        <v>29.96</v>
      </c>
      <c r="HR60" s="14">
        <v>29.959</v>
      </c>
      <c r="HS60" s="14">
        <v>29.957999999999998</v>
      </c>
      <c r="HT60" s="14">
        <v>29.96</v>
      </c>
      <c r="HU60" s="14"/>
      <c r="HV60" s="14"/>
      <c r="HW60" s="14"/>
      <c r="HX60" s="14"/>
      <c r="HY60" s="14"/>
      <c r="HZ60" s="14"/>
      <c r="IA60" s="14"/>
      <c r="IB60" s="11"/>
      <c r="IC60" s="11"/>
      <c r="ID60" s="11"/>
      <c r="IE60" s="11"/>
      <c r="IF60" s="11"/>
      <c r="IG60" s="11"/>
      <c r="IH60" s="11"/>
      <c r="II60" s="11"/>
      <c r="IJ60" s="11"/>
      <c r="IK60" s="11"/>
      <c r="IL60" s="14">
        <v>29.96</v>
      </c>
      <c r="IM60" s="14">
        <v>29.957999999999998</v>
      </c>
      <c r="IN60" s="14">
        <v>29.962</v>
      </c>
      <c r="IO60" s="14">
        <v>29.957000000000001</v>
      </c>
      <c r="IP60" s="14">
        <v>29.965</v>
      </c>
      <c r="IQ60" s="14">
        <v>29.954999999999998</v>
      </c>
      <c r="IR60" s="14">
        <v>29.956</v>
      </c>
      <c r="IS60" s="14">
        <v>29.957999999999998</v>
      </c>
      <c r="IT60" s="14">
        <v>29.957000000000001</v>
      </c>
      <c r="IU60" s="14">
        <v>29.954999999999998</v>
      </c>
      <c r="IV60" s="14">
        <v>29.960999999999999</v>
      </c>
      <c r="IW60" s="14">
        <v>29.95</v>
      </c>
      <c r="IX60" s="14">
        <v>29.952999999999999</v>
      </c>
      <c r="IY60" s="14">
        <v>29.965</v>
      </c>
      <c r="IZ60" s="14">
        <v>29.96</v>
      </c>
      <c r="JA60" s="14"/>
      <c r="JB60" s="14"/>
      <c r="JC60" s="14"/>
      <c r="JD60" s="14"/>
      <c r="JE60" s="14"/>
      <c r="JF60" s="14">
        <v>29.968</v>
      </c>
      <c r="JG60" s="14">
        <v>29.966999999999999</v>
      </c>
      <c r="JH60" s="14">
        <v>29.966999999999999</v>
      </c>
      <c r="JI60" s="14">
        <v>29.966000000000001</v>
      </c>
      <c r="JJ60" s="14">
        <v>29.968</v>
      </c>
      <c r="JK60" s="14">
        <v>29.965</v>
      </c>
      <c r="JL60" s="14">
        <v>29.966000000000001</v>
      </c>
      <c r="JM60" s="14">
        <v>29.96</v>
      </c>
      <c r="JN60" s="14">
        <v>29.962</v>
      </c>
      <c r="JO60" s="14">
        <v>29.968</v>
      </c>
      <c r="JP60" s="14">
        <v>29.989000000000001</v>
      </c>
      <c r="JQ60" s="14">
        <v>29.960999999999999</v>
      </c>
      <c r="JR60" s="14">
        <v>29.957999999999998</v>
      </c>
      <c r="JS60" s="14">
        <v>29.959</v>
      </c>
      <c r="JT60" s="14">
        <v>29.960999999999999</v>
      </c>
      <c r="JU60" s="14"/>
      <c r="JV60" s="14"/>
      <c r="JW60" s="14"/>
      <c r="JX60" s="14"/>
      <c r="JY60" s="14"/>
      <c r="JZ60" s="14">
        <v>29.962</v>
      </c>
      <c r="KA60" s="14">
        <v>29.960999999999999</v>
      </c>
      <c r="KB60" s="14">
        <v>29.957000000000001</v>
      </c>
      <c r="KC60" s="14">
        <v>29.957999999999998</v>
      </c>
      <c r="KD60" s="14">
        <v>29.960999999999999</v>
      </c>
      <c r="KE60" s="14">
        <v>29.951000000000001</v>
      </c>
      <c r="KF60" s="14">
        <v>29.952000000000002</v>
      </c>
      <c r="KG60" s="14">
        <v>29.954999999999998</v>
      </c>
      <c r="KH60" s="14">
        <v>29.956</v>
      </c>
      <c r="KI60" s="14">
        <v>29.954999999999998</v>
      </c>
      <c r="KJ60" s="14">
        <v>29.954000000000001</v>
      </c>
      <c r="KK60" s="14">
        <v>29.959</v>
      </c>
      <c r="KL60" s="14">
        <v>29.96</v>
      </c>
      <c r="KM60" s="14">
        <v>29.965</v>
      </c>
      <c r="KN60" s="14">
        <v>29.97</v>
      </c>
      <c r="KO60" s="14">
        <v>29.963000000000001</v>
      </c>
      <c r="KP60" s="14">
        <v>29.96</v>
      </c>
      <c r="KQ60" s="14">
        <v>29.962</v>
      </c>
      <c r="KR60" s="14">
        <v>29.960999999999999</v>
      </c>
      <c r="KS60" s="14">
        <v>29.965</v>
      </c>
      <c r="KT60" s="14"/>
      <c r="KU60" s="14"/>
      <c r="KV60" s="14"/>
      <c r="KW60" s="14"/>
      <c r="KX60" s="14"/>
      <c r="KY60" s="14"/>
      <c r="KZ60" s="14"/>
      <c r="LA60" s="14"/>
      <c r="LB60" s="14"/>
      <c r="LC60" s="14"/>
      <c r="LD60" s="14"/>
      <c r="LE60" s="14"/>
      <c r="LF60" s="14"/>
      <c r="LG60" s="14"/>
      <c r="LH60" s="14"/>
      <c r="LI60" s="14"/>
      <c r="LJ60" s="14"/>
      <c r="LK60" s="14"/>
      <c r="LL60" s="14"/>
      <c r="LM60" s="14"/>
      <c r="LN60" s="22">
        <f t="shared" si="9"/>
        <v>20</v>
      </c>
      <c r="LO60" s="6">
        <f t="shared" si="10"/>
        <v>83.913049999999998</v>
      </c>
      <c r="LP60" s="21">
        <f t="shared" si="11"/>
        <v>4.2112006039047387E-3</v>
      </c>
      <c r="LQ60" s="7">
        <f t="shared" si="12"/>
        <v>1.8996957762069371</v>
      </c>
      <c r="LR60" s="7">
        <f t="shared" si="13"/>
        <v>2.766431974101665</v>
      </c>
      <c r="LS60" s="7">
        <f t="shared" si="14"/>
        <v>1.0329595783122092</v>
      </c>
      <c r="LT60" s="7">
        <f t="shared" si="7"/>
        <v>1.0329595783122092</v>
      </c>
    </row>
    <row r="61" spans="1:332">
      <c r="A61" s="21" t="s">
        <v>48</v>
      </c>
      <c r="B61" s="21" t="s">
        <v>73</v>
      </c>
      <c r="C61" s="21" t="s">
        <v>106</v>
      </c>
      <c r="D61" s="21" t="s">
        <v>33</v>
      </c>
      <c r="E61" s="5">
        <v>36.514000000000003</v>
      </c>
      <c r="F61" s="5">
        <v>36.488999999999997</v>
      </c>
      <c r="G61" s="5">
        <f t="shared" si="0"/>
        <v>36.5015</v>
      </c>
      <c r="H61" s="7"/>
      <c r="I61" s="7"/>
      <c r="J61" s="7"/>
      <c r="K61" s="7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>
        <v>36.491</v>
      </c>
      <c r="AQ61" s="5">
        <v>36.500999999999998</v>
      </c>
      <c r="AR61" s="5">
        <v>36.51</v>
      </c>
      <c r="AS61" s="5">
        <v>36.505000000000003</v>
      </c>
      <c r="AT61" s="5">
        <v>36.500999999999998</v>
      </c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>
        <v>36.484999999999999</v>
      </c>
      <c r="BP61" s="5">
        <v>36.488999999999997</v>
      </c>
      <c r="BQ61" s="5">
        <v>36.491</v>
      </c>
      <c r="BR61" s="5">
        <v>36.487000000000002</v>
      </c>
      <c r="BS61" s="5">
        <v>36.485999999999997</v>
      </c>
      <c r="BT61" s="5">
        <v>36.488</v>
      </c>
      <c r="BU61" s="5">
        <v>36.491</v>
      </c>
      <c r="BV61" s="5">
        <v>36.494</v>
      </c>
      <c r="BW61" s="5">
        <v>36.488999999999997</v>
      </c>
      <c r="BX61" s="5">
        <v>36.491</v>
      </c>
      <c r="BY61" s="5">
        <v>36.488999999999997</v>
      </c>
      <c r="BZ61" s="5">
        <v>36.49</v>
      </c>
      <c r="CA61" s="5">
        <v>36.496000000000002</v>
      </c>
      <c r="CB61" s="5">
        <v>36.491</v>
      </c>
      <c r="CC61" s="5">
        <v>36.487000000000002</v>
      </c>
      <c r="CD61" s="5">
        <v>36.49</v>
      </c>
      <c r="CE61" s="5">
        <v>36.496000000000002</v>
      </c>
      <c r="CF61" s="5">
        <v>36.494999999999997</v>
      </c>
      <c r="CG61" s="5">
        <v>36.497999999999998</v>
      </c>
      <c r="CH61" s="5">
        <v>36.499000000000002</v>
      </c>
      <c r="CI61" s="5">
        <v>36.497999999999998</v>
      </c>
      <c r="CJ61" s="5">
        <v>36.493000000000002</v>
      </c>
      <c r="CK61" s="5">
        <v>36.494999999999997</v>
      </c>
      <c r="CL61" s="5">
        <v>36.496000000000002</v>
      </c>
      <c r="CM61" s="5">
        <v>39.497999999999998</v>
      </c>
      <c r="CN61" s="5">
        <v>36.491</v>
      </c>
      <c r="CO61" s="5">
        <v>36.500999999999998</v>
      </c>
      <c r="CP61" s="5">
        <v>36.488</v>
      </c>
      <c r="CQ61" s="5">
        <v>36.488999999999997</v>
      </c>
      <c r="CR61" s="5">
        <v>36.491999999999997</v>
      </c>
      <c r="CS61" s="5"/>
      <c r="CT61" s="5"/>
      <c r="CU61" s="5"/>
      <c r="CV61" s="5"/>
      <c r="CW61" s="5"/>
      <c r="CX61" s="5">
        <v>36.491</v>
      </c>
      <c r="CY61" s="5">
        <v>36.494</v>
      </c>
      <c r="CZ61" s="5">
        <v>36.499000000000002</v>
      </c>
      <c r="DA61" s="5">
        <v>36.500999999999998</v>
      </c>
      <c r="DB61" s="5">
        <v>36.491</v>
      </c>
      <c r="DC61" s="5">
        <v>36.488</v>
      </c>
      <c r="DD61" s="5">
        <v>36.488999999999997</v>
      </c>
      <c r="DE61" s="5">
        <v>36.488999999999997</v>
      </c>
      <c r="DF61" s="5">
        <v>36.491</v>
      </c>
      <c r="DG61" s="5">
        <v>36.491</v>
      </c>
      <c r="DH61" s="5">
        <v>36.494999999999997</v>
      </c>
      <c r="DI61" s="5">
        <v>36.497999999999998</v>
      </c>
      <c r="DJ61" s="5">
        <v>36.497</v>
      </c>
      <c r="DK61" s="5">
        <v>36.5</v>
      </c>
      <c r="DL61" s="5">
        <v>36.499000000000002</v>
      </c>
      <c r="DM61" s="5"/>
      <c r="DN61" s="5"/>
      <c r="DO61" s="5"/>
      <c r="DP61" s="5"/>
      <c r="DQ61" s="5"/>
      <c r="DR61" s="5">
        <v>36.496000000000002</v>
      </c>
      <c r="DS61" s="5">
        <v>36.493000000000002</v>
      </c>
      <c r="DT61" s="5">
        <v>36.491</v>
      </c>
      <c r="DU61" s="5">
        <v>36.488999999999997</v>
      </c>
      <c r="DV61" s="5">
        <v>36.487000000000002</v>
      </c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>
        <v>36.488</v>
      </c>
      <c r="HQ61" s="13">
        <v>36.488999999999997</v>
      </c>
      <c r="HR61" s="14">
        <v>36.491</v>
      </c>
      <c r="HS61" s="14">
        <v>36.49</v>
      </c>
      <c r="HT61" s="14">
        <v>36.491999999999997</v>
      </c>
      <c r="HU61" s="14"/>
      <c r="HV61" s="14"/>
      <c r="HW61" s="14"/>
      <c r="HX61" s="14"/>
      <c r="HY61" s="14"/>
      <c r="HZ61" s="14"/>
      <c r="IA61" s="14"/>
      <c r="IB61" s="11"/>
      <c r="IC61" s="11"/>
      <c r="ID61" s="11"/>
      <c r="IE61" s="11"/>
      <c r="IF61" s="11"/>
      <c r="IG61" s="11"/>
      <c r="IH61" s="11"/>
      <c r="II61" s="11"/>
      <c r="IJ61" s="11"/>
      <c r="IK61" s="11"/>
      <c r="IL61" s="14">
        <v>36.484999999999999</v>
      </c>
      <c r="IM61" s="14">
        <v>36.491</v>
      </c>
      <c r="IN61" s="14">
        <v>36.494999999999997</v>
      </c>
      <c r="IO61" s="14">
        <v>36.488</v>
      </c>
      <c r="IP61" s="14">
        <v>36.496000000000002</v>
      </c>
      <c r="IQ61" s="14">
        <v>36.491999999999997</v>
      </c>
      <c r="IR61" s="14">
        <v>36.493000000000002</v>
      </c>
      <c r="IS61" s="14">
        <v>36.491</v>
      </c>
      <c r="IT61" s="14">
        <v>36.491</v>
      </c>
      <c r="IU61" s="14">
        <v>36.493000000000002</v>
      </c>
      <c r="IV61" s="14">
        <v>36.491</v>
      </c>
      <c r="IW61" s="14">
        <v>36.488</v>
      </c>
      <c r="IX61" s="14">
        <v>36.493000000000002</v>
      </c>
      <c r="IY61" s="14">
        <v>36.488999999999997</v>
      </c>
      <c r="IZ61" s="14">
        <v>36.49</v>
      </c>
      <c r="JA61" s="14"/>
      <c r="JB61" s="14"/>
      <c r="JC61" s="14"/>
      <c r="JD61" s="14"/>
      <c r="JE61" s="14"/>
      <c r="JF61" s="14">
        <v>36.494999999999997</v>
      </c>
      <c r="JG61" s="14">
        <v>36.494</v>
      </c>
      <c r="JH61" s="14">
        <v>36.491</v>
      </c>
      <c r="JI61" s="14">
        <v>36.491</v>
      </c>
      <c r="JJ61" s="14">
        <v>36.493000000000002</v>
      </c>
      <c r="JK61" s="14">
        <v>36.494999999999997</v>
      </c>
      <c r="JL61" s="14">
        <v>36.493000000000002</v>
      </c>
      <c r="JM61" s="14">
        <v>36.491999999999997</v>
      </c>
      <c r="JN61" s="14">
        <v>36.494</v>
      </c>
      <c r="JO61" s="14">
        <v>36.493000000000002</v>
      </c>
      <c r="JP61" s="14">
        <v>36.494999999999997</v>
      </c>
      <c r="JQ61" s="14">
        <v>36.491</v>
      </c>
      <c r="JR61" s="14">
        <v>36.488999999999997</v>
      </c>
      <c r="JS61" s="14">
        <v>36.494</v>
      </c>
      <c r="JT61" s="14">
        <v>36.496000000000002</v>
      </c>
      <c r="JU61" s="14"/>
      <c r="JV61" s="14"/>
      <c r="JW61" s="14"/>
      <c r="JX61" s="14"/>
      <c r="JY61" s="14"/>
      <c r="JZ61" s="14">
        <v>36.491999999999997</v>
      </c>
      <c r="KA61" s="14">
        <v>36.488</v>
      </c>
      <c r="KB61" s="14">
        <v>36.49</v>
      </c>
      <c r="KC61" s="14">
        <v>36.487000000000002</v>
      </c>
      <c r="KD61" s="14">
        <v>36.491</v>
      </c>
      <c r="KE61" s="14">
        <v>36.481000000000002</v>
      </c>
      <c r="KF61" s="14">
        <v>36.481999999999999</v>
      </c>
      <c r="KG61" s="14">
        <v>36.484999999999999</v>
      </c>
      <c r="KH61" s="14">
        <v>36.485999999999997</v>
      </c>
      <c r="KI61" s="14">
        <v>36.484999999999999</v>
      </c>
      <c r="KJ61" s="14">
        <v>36.497999999999998</v>
      </c>
      <c r="KK61" s="14">
        <v>36.491</v>
      </c>
      <c r="KL61" s="14">
        <v>36.494999999999997</v>
      </c>
      <c r="KM61" s="14">
        <v>36.49</v>
      </c>
      <c r="KN61" s="14">
        <v>36.493000000000002</v>
      </c>
      <c r="KO61" s="14">
        <v>36.494</v>
      </c>
      <c r="KP61" s="14">
        <v>36.493000000000002</v>
      </c>
      <c r="KQ61" s="14">
        <v>36.494999999999997</v>
      </c>
      <c r="KR61" s="14">
        <v>36.491</v>
      </c>
      <c r="KS61" s="14">
        <v>36.49</v>
      </c>
      <c r="KT61" s="14"/>
      <c r="KU61" s="14"/>
      <c r="KV61" s="14"/>
      <c r="KW61" s="14"/>
      <c r="KX61" s="14"/>
      <c r="KY61" s="14"/>
      <c r="KZ61" s="14"/>
      <c r="LA61" s="14"/>
      <c r="LB61" s="14"/>
      <c r="LC61" s="14"/>
      <c r="LD61" s="14"/>
      <c r="LE61" s="14"/>
      <c r="LF61" s="14"/>
      <c r="LG61" s="14"/>
      <c r="LH61" s="14"/>
      <c r="LI61" s="14"/>
      <c r="LJ61" s="14"/>
      <c r="LK61" s="14"/>
      <c r="LL61" s="14"/>
      <c r="LM61" s="14"/>
      <c r="LN61" s="22">
        <f t="shared" si="9"/>
        <v>15</v>
      </c>
      <c r="LO61" s="6">
        <f t="shared" si="10"/>
        <v>29.942666666666664</v>
      </c>
      <c r="LP61" s="21">
        <f t="shared" si="11"/>
        <v>2.0930724738895102E-3</v>
      </c>
      <c r="LQ61" s="7">
        <f t="shared" si="12"/>
        <v>1.2740441145411261</v>
      </c>
      <c r="LR61" s="7">
        <f t="shared" si="13"/>
        <v>1.4863848002984992</v>
      </c>
      <c r="LS61" s="7">
        <f t="shared" si="14"/>
        <v>1.061703428783753</v>
      </c>
      <c r="LT61" s="7">
        <f>MIN(LR61:LS61)</f>
        <v>1.061703428783753</v>
      </c>
    </row>
    <row r="62" spans="1:332">
      <c r="A62" s="21" t="s">
        <v>48</v>
      </c>
      <c r="B62" s="21" t="s">
        <v>73</v>
      </c>
      <c r="C62" s="21" t="s">
        <v>106</v>
      </c>
      <c r="D62" s="21" t="s">
        <v>55</v>
      </c>
      <c r="E62" s="5">
        <v>83.947999999999993</v>
      </c>
      <c r="F62" s="5">
        <v>83.9</v>
      </c>
      <c r="G62" s="5">
        <f t="shared" si="0"/>
        <v>83.924000000000007</v>
      </c>
      <c r="H62" s="7"/>
      <c r="I62" s="7"/>
      <c r="J62" s="7"/>
      <c r="K62" s="7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>
        <v>83.903999999999996</v>
      </c>
      <c r="BP62" s="5">
        <v>83.911000000000001</v>
      </c>
      <c r="BQ62" s="5">
        <v>83.918000000000006</v>
      </c>
      <c r="BR62" s="5">
        <v>83.915999999999997</v>
      </c>
      <c r="BS62" s="5">
        <v>83.905000000000001</v>
      </c>
      <c r="BT62" s="5">
        <v>83.912999999999997</v>
      </c>
      <c r="BU62" s="5">
        <v>83.911000000000001</v>
      </c>
      <c r="BV62" s="5">
        <v>83.91</v>
      </c>
      <c r="BW62" s="5">
        <v>83.912999999999997</v>
      </c>
      <c r="BX62" s="5">
        <v>83.917000000000002</v>
      </c>
      <c r="BY62" s="5">
        <v>83.911000000000001</v>
      </c>
      <c r="BZ62" s="5">
        <v>83.909000000000006</v>
      </c>
      <c r="CA62" s="5">
        <v>83.912999999999997</v>
      </c>
      <c r="CB62" s="5">
        <v>83.915999999999997</v>
      </c>
      <c r="CC62" s="5">
        <v>83.914000000000001</v>
      </c>
      <c r="CD62" s="5">
        <v>83.914000000000001</v>
      </c>
      <c r="CE62" s="5">
        <v>83.918000000000006</v>
      </c>
      <c r="CF62" s="5">
        <v>83.921000000000006</v>
      </c>
      <c r="CG62" s="5">
        <v>83.912000000000006</v>
      </c>
      <c r="CH62" s="5">
        <v>83.915000000000006</v>
      </c>
      <c r="CI62" s="5">
        <v>83.911000000000001</v>
      </c>
      <c r="CJ62" s="5">
        <v>83.915000000000006</v>
      </c>
      <c r="CK62" s="5">
        <v>83.912999999999997</v>
      </c>
      <c r="CL62" s="5">
        <v>83.918999999999997</v>
      </c>
      <c r="CM62" s="5">
        <v>83.912999999999997</v>
      </c>
      <c r="CN62" s="5">
        <v>83.912000000000006</v>
      </c>
      <c r="CO62" s="5">
        <v>83.915000000000006</v>
      </c>
      <c r="CP62" s="5">
        <v>83.918000000000006</v>
      </c>
      <c r="CQ62" s="5">
        <v>83.917000000000002</v>
      </c>
      <c r="CR62" s="5">
        <v>83.915999999999997</v>
      </c>
      <c r="CS62" s="5"/>
      <c r="CT62" s="5"/>
      <c r="CU62" s="5"/>
      <c r="CV62" s="5"/>
      <c r="CW62" s="5"/>
      <c r="CX62" s="5">
        <v>83.915999999999997</v>
      </c>
      <c r="CY62" s="5">
        <v>83.903000000000006</v>
      </c>
      <c r="CZ62" s="5">
        <v>83.912999999999997</v>
      </c>
      <c r="DA62" s="5">
        <v>83.923000000000002</v>
      </c>
      <c r="DB62" s="5">
        <v>83.917000000000002</v>
      </c>
      <c r="DC62" s="5">
        <v>83.915999999999997</v>
      </c>
      <c r="DD62" s="5">
        <v>83.914000000000001</v>
      </c>
      <c r="DE62" s="5">
        <v>83.914000000000001</v>
      </c>
      <c r="DF62" s="5">
        <v>83.912000000000006</v>
      </c>
      <c r="DG62" s="5">
        <v>83.912000000000006</v>
      </c>
      <c r="DH62" s="5">
        <v>83.912999999999997</v>
      </c>
      <c r="DI62" s="5">
        <v>83.915999999999997</v>
      </c>
      <c r="DJ62" s="5">
        <v>83.909000000000006</v>
      </c>
      <c r="DK62" s="5">
        <v>83.906999999999996</v>
      </c>
      <c r="DL62" s="5">
        <v>83.912000000000006</v>
      </c>
      <c r="DM62" s="5"/>
      <c r="DN62" s="5"/>
      <c r="DO62" s="5"/>
      <c r="DP62" s="5"/>
      <c r="DQ62" s="5"/>
      <c r="DR62" s="5">
        <v>83.923000000000002</v>
      </c>
      <c r="DS62" s="5">
        <v>83.912999999999997</v>
      </c>
      <c r="DT62" s="5">
        <v>83.914000000000001</v>
      </c>
      <c r="DU62" s="5">
        <v>83.915000000000006</v>
      </c>
      <c r="DV62" s="5">
        <v>83.912999999999997</v>
      </c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>
        <v>83.903000000000006</v>
      </c>
      <c r="HQ62" s="13">
        <v>83.906999999999996</v>
      </c>
      <c r="HR62" s="14">
        <v>83.903999999999996</v>
      </c>
      <c r="HS62" s="14">
        <v>83.908000000000001</v>
      </c>
      <c r="HT62" s="14">
        <v>83.906000000000006</v>
      </c>
      <c r="HU62" s="14"/>
      <c r="HV62" s="14"/>
      <c r="HW62" s="14"/>
      <c r="HX62" s="14"/>
      <c r="HY62" s="14"/>
      <c r="HZ62" s="14"/>
      <c r="IA62" s="14"/>
      <c r="IB62" s="11"/>
      <c r="IC62" s="11"/>
      <c r="ID62" s="11"/>
      <c r="IE62" s="11"/>
      <c r="IF62" s="11"/>
      <c r="IG62" s="11"/>
      <c r="IH62" s="11"/>
      <c r="II62" s="11"/>
      <c r="IJ62" s="11"/>
      <c r="IK62" s="11"/>
      <c r="IL62" s="14">
        <v>83.905000000000001</v>
      </c>
      <c r="IM62" s="14">
        <v>83.909000000000006</v>
      </c>
      <c r="IN62" s="14">
        <v>83.912000000000006</v>
      </c>
      <c r="IO62" s="14">
        <v>83.914000000000001</v>
      </c>
      <c r="IP62" s="14">
        <v>83.917000000000002</v>
      </c>
      <c r="IQ62" s="14">
        <v>83.912999999999997</v>
      </c>
      <c r="IR62" s="14">
        <v>83.915000000000006</v>
      </c>
      <c r="IS62" s="14">
        <v>83.914000000000001</v>
      </c>
      <c r="IT62" s="14">
        <v>83.912999999999997</v>
      </c>
      <c r="IU62" s="14">
        <v>83.912000000000006</v>
      </c>
      <c r="IV62" s="14">
        <v>83.900999999999996</v>
      </c>
      <c r="IW62" s="14">
        <v>83.905000000000001</v>
      </c>
      <c r="IX62" s="14">
        <v>83.912000000000006</v>
      </c>
      <c r="IY62" s="14">
        <v>83.915000000000006</v>
      </c>
      <c r="IZ62" s="14">
        <v>83.917000000000002</v>
      </c>
      <c r="JA62" s="14"/>
      <c r="JB62" s="14"/>
      <c r="JC62" s="14"/>
      <c r="JD62" s="14"/>
      <c r="JE62" s="14"/>
      <c r="JF62" s="14">
        <v>83.905000000000001</v>
      </c>
      <c r="JG62" s="14">
        <v>83.903999999999996</v>
      </c>
      <c r="JH62" s="14">
        <v>83.905000000000001</v>
      </c>
      <c r="JI62" s="14">
        <v>83.903000000000006</v>
      </c>
      <c r="JJ62" s="14">
        <v>83.906999999999996</v>
      </c>
      <c r="JK62" s="14">
        <v>83.909000000000006</v>
      </c>
      <c r="JL62" s="14">
        <v>83.906999999999996</v>
      </c>
      <c r="JM62" s="14">
        <v>83.905000000000001</v>
      </c>
      <c r="JN62" s="14">
        <v>83.903000000000006</v>
      </c>
      <c r="JO62" s="14">
        <v>83.906999999999996</v>
      </c>
      <c r="JP62" s="14">
        <v>83.911000000000001</v>
      </c>
      <c r="JQ62" s="14">
        <v>83.909000000000006</v>
      </c>
      <c r="JR62" s="14">
        <v>83.91</v>
      </c>
      <c r="JS62" s="14">
        <v>83.912000000000006</v>
      </c>
      <c r="JT62" s="14">
        <v>83.908000000000001</v>
      </c>
      <c r="JU62" s="14"/>
      <c r="JV62" s="14"/>
      <c r="JW62" s="14"/>
      <c r="JX62" s="14"/>
      <c r="JY62" s="14"/>
      <c r="JZ62" s="14">
        <v>83.912999999999997</v>
      </c>
      <c r="KA62" s="14">
        <v>83.912000000000006</v>
      </c>
      <c r="KB62" s="14">
        <v>83.914000000000001</v>
      </c>
      <c r="KC62" s="14">
        <v>83.915999999999997</v>
      </c>
      <c r="KD62" s="14">
        <v>83.915000000000006</v>
      </c>
      <c r="KE62" s="14">
        <v>83.914000000000001</v>
      </c>
      <c r="KF62" s="14">
        <v>83.915000000000006</v>
      </c>
      <c r="KG62" s="14">
        <v>83.918999999999997</v>
      </c>
      <c r="KH62" s="14">
        <v>83.918000000000006</v>
      </c>
      <c r="KI62" s="14">
        <v>83.915999999999997</v>
      </c>
      <c r="KJ62" s="14">
        <v>83.915000000000006</v>
      </c>
      <c r="KK62" s="14">
        <v>83.91</v>
      </c>
      <c r="KL62" s="14">
        <v>83.917000000000002</v>
      </c>
      <c r="KM62" s="14">
        <v>83.908000000000001</v>
      </c>
      <c r="KN62" s="14">
        <v>83.915000000000006</v>
      </c>
      <c r="KO62" s="14">
        <v>83.912999999999997</v>
      </c>
      <c r="KP62" s="14">
        <v>83.917000000000002</v>
      </c>
      <c r="KQ62" s="14">
        <v>83.915000000000006</v>
      </c>
      <c r="KR62" s="14">
        <v>83.914000000000001</v>
      </c>
      <c r="KS62" s="14">
        <v>83.915000000000006</v>
      </c>
      <c r="KT62" s="14"/>
      <c r="KU62" s="14"/>
      <c r="KV62" s="14"/>
      <c r="KW62" s="14"/>
      <c r="KX62" s="14"/>
      <c r="KY62" s="14"/>
      <c r="KZ62" s="14"/>
      <c r="LA62" s="14"/>
      <c r="LB62" s="14"/>
      <c r="LC62" s="14"/>
      <c r="LD62" s="14"/>
      <c r="LE62" s="14"/>
      <c r="LF62" s="14"/>
      <c r="LG62" s="14"/>
      <c r="LH62" s="14"/>
      <c r="LI62" s="14"/>
      <c r="LJ62" s="14"/>
      <c r="LK62" s="14"/>
      <c r="LL62" s="14"/>
      <c r="LM62" s="14"/>
      <c r="LN62" s="22"/>
      <c r="LO62" s="6"/>
      <c r="LP62" s="21"/>
      <c r="LQ62" s="7"/>
      <c r="LR62" s="7"/>
      <c r="LS62" s="7"/>
      <c r="LT62" s="7"/>
    </row>
    <row r="63" spans="1:332">
      <c r="A63" s="21" t="s">
        <v>48</v>
      </c>
      <c r="B63" s="21" t="s">
        <v>75</v>
      </c>
      <c r="C63" s="21"/>
      <c r="D63" s="21" t="s">
        <v>33</v>
      </c>
      <c r="E63" s="5">
        <v>29.952000000000002</v>
      </c>
      <c r="F63" s="5">
        <v>29.936</v>
      </c>
      <c r="G63" s="5">
        <f t="shared" si="0"/>
        <v>29.944000000000003</v>
      </c>
      <c r="H63" s="7"/>
      <c r="I63" s="7"/>
      <c r="J63" s="7"/>
      <c r="K63" s="7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>
        <v>29.940999999999999</v>
      </c>
      <c r="BP63" s="5">
        <v>29.943999999999999</v>
      </c>
      <c r="BQ63" s="5">
        <v>29.942</v>
      </c>
      <c r="BR63" s="5">
        <v>29.94</v>
      </c>
      <c r="BS63" s="5">
        <v>29.942</v>
      </c>
      <c r="BT63" s="5">
        <v>29.943000000000001</v>
      </c>
      <c r="BU63" s="5">
        <v>29.943999999999999</v>
      </c>
      <c r="BV63" s="5">
        <v>29.946000000000002</v>
      </c>
      <c r="BW63" s="5">
        <v>29.940999999999999</v>
      </c>
      <c r="BX63" s="5">
        <v>29.943000000000001</v>
      </c>
      <c r="BY63" s="5">
        <v>29.945</v>
      </c>
      <c r="BZ63" s="5">
        <v>29.939</v>
      </c>
      <c r="CA63" s="5">
        <v>29.940999999999999</v>
      </c>
      <c r="CB63" s="5">
        <v>29.946000000000002</v>
      </c>
      <c r="CC63" s="5">
        <v>29.943000000000001</v>
      </c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>
        <v>29.939</v>
      </c>
      <c r="DS63" s="5">
        <v>29.940999999999999</v>
      </c>
      <c r="DT63" s="5">
        <v>29.94</v>
      </c>
      <c r="DU63" s="5">
        <v>29.943000000000001</v>
      </c>
      <c r="DV63" s="5">
        <v>29.943999999999999</v>
      </c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13"/>
      <c r="HR63" s="14"/>
      <c r="HS63" s="14"/>
      <c r="HT63" s="14"/>
      <c r="HU63" s="14"/>
      <c r="HV63" s="14"/>
      <c r="HW63" s="14"/>
      <c r="HX63" s="14"/>
      <c r="HY63" s="14"/>
      <c r="HZ63" s="14"/>
      <c r="IA63" s="14"/>
      <c r="IB63" s="11"/>
      <c r="IC63" s="11"/>
      <c r="ID63" s="11"/>
      <c r="IE63" s="11"/>
      <c r="IF63" s="11"/>
      <c r="IG63" s="11"/>
      <c r="IH63" s="11"/>
      <c r="II63" s="11"/>
      <c r="IJ63" s="11"/>
      <c r="IK63" s="11"/>
      <c r="IL63" s="14">
        <v>29.943999999999999</v>
      </c>
      <c r="IM63" s="14">
        <v>29.939</v>
      </c>
      <c r="IN63" s="14">
        <v>29.948</v>
      </c>
      <c r="IO63" s="14">
        <v>29.943000000000001</v>
      </c>
      <c r="IP63" s="14">
        <v>29.942</v>
      </c>
      <c r="IQ63" s="14">
        <v>29.943000000000001</v>
      </c>
      <c r="IR63" s="14">
        <v>29.939</v>
      </c>
      <c r="IS63" s="14">
        <v>29.94</v>
      </c>
      <c r="IT63" s="14">
        <v>29.940999999999999</v>
      </c>
      <c r="IU63" s="14">
        <v>29.942</v>
      </c>
      <c r="IV63" s="14">
        <v>29.940999999999999</v>
      </c>
      <c r="IW63" s="14">
        <v>29.943000000000001</v>
      </c>
      <c r="IX63" s="14">
        <v>29.94</v>
      </c>
      <c r="IY63" s="14">
        <v>29.942</v>
      </c>
      <c r="IZ63" s="14">
        <v>29.940999999999999</v>
      </c>
      <c r="JA63" s="14"/>
      <c r="JB63" s="14"/>
      <c r="JC63" s="14"/>
      <c r="JD63" s="14"/>
      <c r="JE63" s="14"/>
      <c r="JF63" s="14">
        <v>29.943000000000001</v>
      </c>
      <c r="JG63" s="14">
        <v>29.942</v>
      </c>
      <c r="JH63" s="14">
        <v>29.943999999999999</v>
      </c>
      <c r="JI63" s="14">
        <v>29.940999999999999</v>
      </c>
      <c r="JJ63" s="14">
        <v>29.943000000000001</v>
      </c>
      <c r="JK63" s="14"/>
      <c r="JL63" s="14"/>
      <c r="JM63" s="14"/>
      <c r="JN63" s="14"/>
      <c r="JO63" s="14"/>
      <c r="JP63" s="14">
        <v>29.942</v>
      </c>
      <c r="JQ63" s="14">
        <v>29.940999999999999</v>
      </c>
      <c r="JR63" s="14">
        <v>29.943000000000001</v>
      </c>
      <c r="JS63" s="14">
        <v>29.94</v>
      </c>
      <c r="JT63" s="14">
        <v>29.943000000000001</v>
      </c>
      <c r="JU63" s="14">
        <v>29.940999999999999</v>
      </c>
      <c r="JV63" s="14">
        <v>29.943000000000001</v>
      </c>
      <c r="JW63" s="14">
        <v>29.943999999999999</v>
      </c>
      <c r="JX63" s="14">
        <v>29.94</v>
      </c>
      <c r="JY63" s="14">
        <v>29.943999999999999</v>
      </c>
      <c r="JZ63" s="14">
        <v>29.942</v>
      </c>
      <c r="KA63" s="14">
        <v>29.943000000000001</v>
      </c>
      <c r="KB63" s="14">
        <v>29.945</v>
      </c>
      <c r="KC63" s="14">
        <v>29.946999999999999</v>
      </c>
      <c r="KD63" s="14">
        <v>29.943999999999999</v>
      </c>
      <c r="KE63" s="14">
        <v>29.943999999999999</v>
      </c>
      <c r="KF63" s="14">
        <v>29.942</v>
      </c>
      <c r="KG63" s="14">
        <v>29.94</v>
      </c>
      <c r="KH63" s="14">
        <v>29.942</v>
      </c>
      <c r="KI63" s="14">
        <v>29.943000000000001</v>
      </c>
      <c r="KJ63" s="14">
        <v>29.945</v>
      </c>
      <c r="KK63" s="14">
        <v>29.949000000000002</v>
      </c>
      <c r="KL63" s="14">
        <v>29.940999999999999</v>
      </c>
      <c r="KM63" s="14">
        <v>29.94</v>
      </c>
      <c r="KN63" s="14">
        <v>29.946999999999999</v>
      </c>
      <c r="KO63" s="14">
        <v>29.945</v>
      </c>
      <c r="KP63" s="14">
        <v>29.94</v>
      </c>
      <c r="KQ63" s="14">
        <v>29.946999999999999</v>
      </c>
      <c r="KR63" s="14">
        <v>29.943999999999999</v>
      </c>
      <c r="KS63" s="14">
        <v>29.946000000000002</v>
      </c>
      <c r="KT63" s="14"/>
      <c r="KU63" s="14"/>
      <c r="KV63" s="14"/>
      <c r="KW63" s="14"/>
      <c r="KX63" s="14"/>
      <c r="KY63" s="14"/>
      <c r="KZ63" s="14"/>
      <c r="LA63" s="14"/>
      <c r="LB63" s="14"/>
      <c r="LC63" s="14"/>
      <c r="LD63" s="14"/>
      <c r="LE63" s="14"/>
      <c r="LF63" s="14"/>
      <c r="LG63" s="14"/>
      <c r="LH63" s="14"/>
      <c r="LI63" s="14"/>
      <c r="LJ63" s="14"/>
      <c r="LK63" s="14"/>
      <c r="LL63" s="14"/>
      <c r="LM63" s="14"/>
      <c r="LN63" s="22">
        <f>COUNT(L65:CH65)</f>
        <v>15</v>
      </c>
      <c r="LO63" s="6">
        <f>AVERAGE(L65:CH65)</f>
        <v>41.949933333333327</v>
      </c>
      <c r="LP63" s="21">
        <f>STDEVA(L65:CH65)</f>
        <v>1.8309508328688655E-3</v>
      </c>
      <c r="LQ63" s="7">
        <f>(E65-F65)/(6*LP63)</f>
        <v>1.547465547665398</v>
      </c>
      <c r="LR63" s="7">
        <f>(E65-LO63)/(3*LP63)</f>
        <v>2.7429585393925291</v>
      </c>
      <c r="LS63" s="7">
        <f>(LO63-F65)/(3*LP63)</f>
        <v>0.35197255593826682</v>
      </c>
      <c r="LT63" s="7">
        <f>MIN(LR63:LS63)</f>
        <v>0.35197255593826682</v>
      </c>
    </row>
    <row r="64" spans="1:332">
      <c r="A64" s="21" t="s">
        <v>48</v>
      </c>
      <c r="B64" s="21" t="s">
        <v>75</v>
      </c>
      <c r="C64" s="21"/>
      <c r="D64" s="21" t="s">
        <v>33</v>
      </c>
      <c r="E64" s="10"/>
      <c r="F64" s="10"/>
      <c r="G64" s="5"/>
      <c r="H64" s="7"/>
      <c r="I64" s="7"/>
      <c r="J64" s="7"/>
      <c r="K64" s="7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>
        <v>31.446999999999999</v>
      </c>
      <c r="BF64" s="5">
        <v>31.445</v>
      </c>
      <c r="BG64" s="5">
        <v>31.451000000000001</v>
      </c>
      <c r="BH64" s="5">
        <v>31.452999999999999</v>
      </c>
      <c r="BI64" s="5">
        <v>31.445</v>
      </c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13"/>
      <c r="HR64" s="14"/>
      <c r="HS64" s="14"/>
      <c r="HT64" s="14"/>
      <c r="HU64" s="14"/>
      <c r="HV64" s="14"/>
      <c r="HW64" s="14"/>
      <c r="HX64" s="14"/>
      <c r="HY64" s="14"/>
      <c r="HZ64" s="14"/>
      <c r="IA64" s="14"/>
      <c r="IB64" s="11"/>
      <c r="IC64" s="11"/>
      <c r="ID64" s="11"/>
      <c r="IE64" s="11"/>
      <c r="IF64" s="11"/>
      <c r="IG64" s="11"/>
      <c r="IH64" s="11"/>
      <c r="II64" s="11"/>
      <c r="IJ64" s="11"/>
      <c r="IK64" s="11"/>
      <c r="IL64" s="14"/>
      <c r="IM64" s="14"/>
      <c r="IN64" s="14"/>
      <c r="IO64" s="14"/>
      <c r="IP64" s="14"/>
      <c r="IQ64" s="14"/>
      <c r="IR64" s="14"/>
      <c r="IS64" s="14"/>
      <c r="IT64" s="14"/>
      <c r="IU64" s="14"/>
      <c r="IV64" s="14"/>
      <c r="IW64" s="14"/>
      <c r="IX64" s="14"/>
      <c r="IY64" s="14"/>
      <c r="IZ64" s="14"/>
      <c r="JA64" s="14"/>
      <c r="JB64" s="14"/>
      <c r="JC64" s="14"/>
      <c r="JD64" s="14"/>
      <c r="JE64" s="14"/>
      <c r="JF64" s="14"/>
      <c r="JG64" s="14"/>
      <c r="JH64" s="14"/>
      <c r="JI64" s="14"/>
      <c r="JJ64" s="14"/>
      <c r="JK64" s="14"/>
      <c r="JL64" s="14"/>
      <c r="JM64" s="14"/>
      <c r="JN64" s="14"/>
      <c r="JO64" s="14"/>
      <c r="JP64" s="14"/>
      <c r="JQ64" s="14"/>
      <c r="JR64" s="14"/>
      <c r="JS64" s="14"/>
      <c r="JT64" s="14"/>
      <c r="JU64" s="14"/>
      <c r="JV64" s="14"/>
      <c r="JW64" s="14"/>
      <c r="JX64" s="14"/>
      <c r="JY64" s="14"/>
      <c r="JZ64" s="14"/>
      <c r="KA64" s="14"/>
      <c r="KB64" s="14"/>
      <c r="KC64" s="14"/>
      <c r="KD64" s="14"/>
      <c r="KE64" s="14"/>
      <c r="KF64" s="14"/>
      <c r="KG64" s="14"/>
      <c r="KH64" s="14"/>
      <c r="KI64" s="14"/>
      <c r="KJ64" s="14"/>
      <c r="KK64" s="14"/>
      <c r="KL64" s="14"/>
      <c r="KM64" s="14"/>
      <c r="KN64" s="14"/>
      <c r="KO64" s="14"/>
      <c r="KP64" s="14"/>
      <c r="KQ64" s="14"/>
      <c r="KR64" s="14"/>
      <c r="KS64" s="14"/>
      <c r="KT64" s="14"/>
      <c r="KU64" s="14"/>
      <c r="KV64" s="14"/>
      <c r="KW64" s="14"/>
      <c r="KX64" s="14"/>
      <c r="KY64" s="14"/>
      <c r="KZ64" s="14"/>
      <c r="LA64" s="14"/>
      <c r="LB64" s="14"/>
      <c r="LC64" s="14"/>
      <c r="LD64" s="14"/>
      <c r="LE64" s="14"/>
      <c r="LF64" s="14"/>
      <c r="LG64" s="14"/>
      <c r="LH64" s="14"/>
      <c r="LI64" s="14"/>
      <c r="LJ64" s="14"/>
      <c r="LK64" s="14"/>
      <c r="LL64" s="14"/>
      <c r="LM64" s="14"/>
      <c r="LN64" s="22"/>
      <c r="LO64" s="6"/>
      <c r="LP64" s="21"/>
      <c r="LQ64" s="7"/>
      <c r="LR64" s="7"/>
      <c r="LS64" s="7"/>
      <c r="LT64" s="7"/>
    </row>
    <row r="65" spans="1:332">
      <c r="A65" s="21" t="s">
        <v>48</v>
      </c>
      <c r="B65" s="21" t="s">
        <v>75</v>
      </c>
      <c r="C65" s="21"/>
      <c r="D65" s="21" t="s">
        <v>52</v>
      </c>
      <c r="E65" s="5">
        <v>41.965000000000003</v>
      </c>
      <c r="F65" s="5">
        <v>41.948</v>
      </c>
      <c r="G65" s="5">
        <f t="shared" si="0"/>
        <v>41.956500000000005</v>
      </c>
      <c r="H65" s="7"/>
      <c r="I65" s="7"/>
      <c r="J65" s="7"/>
      <c r="K65" s="7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11"/>
      <c r="BF65" s="11"/>
      <c r="BG65" s="11"/>
      <c r="BH65" s="11"/>
      <c r="BI65" s="11"/>
      <c r="BJ65" s="5"/>
      <c r="BK65" s="5"/>
      <c r="BL65" s="5"/>
      <c r="BM65" s="5"/>
      <c r="BN65" s="5"/>
      <c r="BO65" s="5">
        <v>41.951999999999998</v>
      </c>
      <c r="BP65" s="5">
        <v>41.954000000000001</v>
      </c>
      <c r="BQ65" s="5">
        <v>41.951000000000001</v>
      </c>
      <c r="BR65" s="5">
        <v>41.948</v>
      </c>
      <c r="BS65" s="5">
        <v>41.95</v>
      </c>
      <c r="BT65" s="5">
        <v>41.948999999999998</v>
      </c>
      <c r="BU65" s="5">
        <v>41.948</v>
      </c>
      <c r="BV65" s="5">
        <v>41.948999999999998</v>
      </c>
      <c r="BW65" s="5">
        <v>41.948999999999998</v>
      </c>
      <c r="BX65" s="5">
        <v>41.948999999999998</v>
      </c>
      <c r="BY65" s="5">
        <v>41.948</v>
      </c>
      <c r="BZ65" s="5">
        <v>41.95</v>
      </c>
      <c r="CA65" s="5">
        <v>41.95</v>
      </c>
      <c r="CB65" s="5">
        <v>41.953000000000003</v>
      </c>
      <c r="CC65" s="5">
        <v>41.948999999999998</v>
      </c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13"/>
      <c r="HR65" s="14"/>
      <c r="HS65" s="14"/>
      <c r="HT65" s="14"/>
      <c r="HU65" s="14"/>
      <c r="HV65" s="14"/>
      <c r="HW65" s="14"/>
      <c r="HX65" s="14"/>
      <c r="HY65" s="14"/>
      <c r="HZ65" s="14"/>
      <c r="IA65" s="14"/>
      <c r="IB65" s="11"/>
      <c r="IC65" s="11"/>
      <c r="ID65" s="11"/>
      <c r="IE65" s="11"/>
      <c r="IF65" s="11"/>
      <c r="IG65" s="11"/>
      <c r="IH65" s="11"/>
      <c r="II65" s="11"/>
      <c r="IJ65" s="11"/>
      <c r="IK65" s="11"/>
      <c r="IL65" s="14">
        <v>41.951000000000001</v>
      </c>
      <c r="IM65" s="14">
        <v>41.945</v>
      </c>
      <c r="IN65" s="14">
        <v>41.959000000000003</v>
      </c>
      <c r="IO65" s="14">
        <v>41.95</v>
      </c>
      <c r="IP65" s="14">
        <v>41.953000000000003</v>
      </c>
      <c r="IQ65" s="14"/>
      <c r="IR65" s="14"/>
      <c r="IS65" s="14"/>
      <c r="IT65" s="14"/>
      <c r="IU65" s="14"/>
      <c r="IV65" s="14">
        <v>41.948999999999998</v>
      </c>
      <c r="IW65" s="14">
        <v>41.95</v>
      </c>
      <c r="IX65" s="14">
        <v>41.951999999999998</v>
      </c>
      <c r="IY65" s="14">
        <v>41.948999999999998</v>
      </c>
      <c r="IZ65" s="14">
        <v>41.95</v>
      </c>
      <c r="JA65" s="14"/>
      <c r="JB65" s="14"/>
      <c r="JC65" s="14"/>
      <c r="JD65" s="14"/>
      <c r="JE65" s="14"/>
      <c r="JF65" s="14">
        <v>41.960999999999999</v>
      </c>
      <c r="JG65" s="14">
        <v>41.963000000000001</v>
      </c>
      <c r="JH65" s="14">
        <v>41.962000000000003</v>
      </c>
      <c r="JI65" s="14">
        <v>41.96</v>
      </c>
      <c r="JJ65" s="14">
        <v>41.962000000000003</v>
      </c>
      <c r="JK65" s="14"/>
      <c r="JL65" s="14"/>
      <c r="JM65" s="14"/>
      <c r="JN65" s="14"/>
      <c r="JO65" s="14"/>
      <c r="JP65" s="14">
        <v>41.957999999999998</v>
      </c>
      <c r="JQ65" s="14">
        <v>41.959000000000003</v>
      </c>
      <c r="JR65" s="14">
        <v>41.962000000000003</v>
      </c>
      <c r="JS65" s="14">
        <v>41.96</v>
      </c>
      <c r="JT65" s="14">
        <v>41.960999999999999</v>
      </c>
      <c r="JU65" s="14">
        <v>41.953000000000003</v>
      </c>
      <c r="JV65" s="14">
        <v>41.957999999999998</v>
      </c>
      <c r="JW65" s="14">
        <v>41.954999999999998</v>
      </c>
      <c r="JX65" s="14">
        <v>41.96</v>
      </c>
      <c r="JY65" s="14">
        <v>41.954000000000001</v>
      </c>
      <c r="JZ65" s="14">
        <v>41.951999999999998</v>
      </c>
      <c r="KA65" s="14">
        <v>41.954000000000001</v>
      </c>
      <c r="KB65" s="14">
        <v>41.956000000000003</v>
      </c>
      <c r="KC65" s="14">
        <v>41.951999999999998</v>
      </c>
      <c r="KD65" s="14">
        <v>41.954999999999998</v>
      </c>
      <c r="KE65" s="14">
        <v>41.954999999999998</v>
      </c>
      <c r="KF65" s="14">
        <v>41.951999999999998</v>
      </c>
      <c r="KG65" s="14">
        <v>41.953000000000003</v>
      </c>
      <c r="KH65" s="14">
        <v>41.951999999999998</v>
      </c>
      <c r="KI65" s="14">
        <v>41.95</v>
      </c>
      <c r="KJ65" s="14">
        <v>41.956000000000003</v>
      </c>
      <c r="KK65" s="14">
        <v>41.96</v>
      </c>
      <c r="KL65" s="14">
        <v>41.957999999999998</v>
      </c>
      <c r="KM65" s="14">
        <v>41.951999999999998</v>
      </c>
      <c r="KN65" s="14">
        <v>41.963000000000001</v>
      </c>
      <c r="KO65" s="14">
        <v>41.962000000000003</v>
      </c>
      <c r="KP65" s="14">
        <v>41.959000000000003</v>
      </c>
      <c r="KQ65" s="14">
        <v>41.957999999999998</v>
      </c>
      <c r="KR65" s="14">
        <v>41.963000000000001</v>
      </c>
      <c r="KS65" s="14">
        <v>41.96</v>
      </c>
      <c r="KT65" s="14"/>
      <c r="KU65" s="14"/>
      <c r="KV65" s="14"/>
      <c r="KW65" s="14"/>
      <c r="KX65" s="14"/>
      <c r="KY65" s="14"/>
      <c r="KZ65" s="14"/>
      <c r="LA65" s="14"/>
      <c r="LB65" s="14"/>
      <c r="LC65" s="14"/>
      <c r="LD65" s="14"/>
      <c r="LE65" s="14"/>
      <c r="LF65" s="14"/>
      <c r="LG65" s="14"/>
      <c r="LH65" s="14"/>
      <c r="LI65" s="14"/>
      <c r="LJ65" s="14"/>
      <c r="LK65" s="14"/>
      <c r="LL65" s="14"/>
      <c r="LM65" s="14"/>
      <c r="LN65" s="22">
        <f t="shared" ref="LN65:LN81" si="15">COUNT(L67:CH67)</f>
        <v>30</v>
      </c>
      <c r="LO65" s="6">
        <f t="shared" ref="LO65:LO81" si="16">AVERAGE(L67:CH67)</f>
        <v>29.95999999999999</v>
      </c>
      <c r="LP65" s="21">
        <f t="shared" ref="LP65:LP81" si="17">STDEVA(L67:CH67)</f>
        <v>4.0768480049142254E-3</v>
      </c>
      <c r="LQ65" s="7">
        <f t="shared" ref="LQ65:LQ81" si="18">(E67-F67)/(6*LP65)</f>
        <v>0.61321883891344475</v>
      </c>
      <c r="LR65" s="7">
        <f t="shared" ref="LR65:LR81" si="19">(E67-LO65)/(3*LP65)</f>
        <v>0.81762511855193742</v>
      </c>
      <c r="LS65" s="7">
        <f t="shared" ref="LS65:LS81" si="20">(LO65-F67)/(3*LP65)</f>
        <v>0.40881255927495203</v>
      </c>
      <c r="LT65" s="7">
        <f>MIN(LR65:LS65)</f>
        <v>0.40881255927495203</v>
      </c>
    </row>
    <row r="66" spans="1:332">
      <c r="A66" s="21" t="s">
        <v>48</v>
      </c>
      <c r="B66" s="21" t="s">
        <v>75</v>
      </c>
      <c r="C66" s="21"/>
      <c r="D66" s="21" t="s">
        <v>52</v>
      </c>
      <c r="E66" s="10"/>
      <c r="F66" s="10"/>
      <c r="G66" s="5"/>
      <c r="H66" s="7"/>
      <c r="I66" s="7"/>
      <c r="J66" s="7"/>
      <c r="K66" s="7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>
        <v>19.946999999999999</v>
      </c>
      <c r="BF66" s="5">
        <v>19.951000000000001</v>
      </c>
      <c r="BG66" s="5">
        <v>19.943999999999999</v>
      </c>
      <c r="BH66" s="5">
        <v>19.949000000000002</v>
      </c>
      <c r="BI66" s="5">
        <v>19.945</v>
      </c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13"/>
      <c r="HR66" s="14"/>
      <c r="HS66" s="14"/>
      <c r="HT66" s="14"/>
      <c r="HU66" s="14"/>
      <c r="HV66" s="14"/>
      <c r="HW66" s="14"/>
      <c r="HX66" s="14"/>
      <c r="HY66" s="14"/>
      <c r="HZ66" s="14"/>
      <c r="IA66" s="14"/>
      <c r="IB66" s="11"/>
      <c r="IC66" s="11"/>
      <c r="ID66" s="11"/>
      <c r="IE66" s="11"/>
      <c r="IF66" s="11"/>
      <c r="IG66" s="11"/>
      <c r="IH66" s="11"/>
      <c r="II66" s="11"/>
      <c r="IJ66" s="11"/>
      <c r="IK66" s="11"/>
      <c r="IL66" s="14"/>
      <c r="IM66" s="14"/>
      <c r="IN66" s="14"/>
      <c r="IO66" s="14"/>
      <c r="IP66" s="14"/>
      <c r="IQ66" s="14"/>
      <c r="IR66" s="14"/>
      <c r="IS66" s="14"/>
      <c r="IT66" s="14"/>
      <c r="IU66" s="14"/>
      <c r="IV66" s="14"/>
      <c r="IW66" s="14"/>
      <c r="IX66" s="14"/>
      <c r="IY66" s="14"/>
      <c r="IZ66" s="14"/>
      <c r="JA66" s="14"/>
      <c r="JB66" s="14"/>
      <c r="JC66" s="14"/>
      <c r="JD66" s="14"/>
      <c r="JE66" s="14"/>
      <c r="JF66" s="14"/>
      <c r="JG66" s="14"/>
      <c r="JH66" s="14"/>
      <c r="JI66" s="14"/>
      <c r="JJ66" s="14"/>
      <c r="JK66" s="14"/>
      <c r="JL66" s="14"/>
      <c r="JM66" s="14"/>
      <c r="JN66" s="14"/>
      <c r="JO66" s="14"/>
      <c r="JP66" s="14"/>
      <c r="JQ66" s="14"/>
      <c r="JR66" s="14"/>
      <c r="JS66" s="14"/>
      <c r="JT66" s="14"/>
      <c r="JU66" s="14"/>
      <c r="JV66" s="14"/>
      <c r="JW66" s="14"/>
      <c r="JX66" s="14"/>
      <c r="JY66" s="14"/>
      <c r="JZ66" s="14"/>
      <c r="KA66" s="14"/>
      <c r="KB66" s="14"/>
      <c r="KC66" s="14"/>
      <c r="KD66" s="14"/>
      <c r="KE66" s="14"/>
      <c r="KF66" s="14"/>
      <c r="KG66" s="14"/>
      <c r="KH66" s="14"/>
      <c r="KI66" s="14"/>
      <c r="KJ66" s="14"/>
      <c r="KK66" s="14"/>
      <c r="KL66" s="14"/>
      <c r="KM66" s="14"/>
      <c r="KN66" s="14"/>
      <c r="KO66" s="14"/>
      <c r="KP66" s="14"/>
      <c r="KQ66" s="14"/>
      <c r="KR66" s="14"/>
      <c r="KS66" s="14"/>
      <c r="KT66" s="14"/>
      <c r="KU66" s="14"/>
      <c r="KV66" s="14"/>
      <c r="KW66" s="14"/>
      <c r="KX66" s="14"/>
      <c r="KY66" s="14"/>
      <c r="KZ66" s="14"/>
      <c r="LA66" s="14"/>
      <c r="LB66" s="14"/>
      <c r="LC66" s="14"/>
      <c r="LD66" s="14"/>
      <c r="LE66" s="14"/>
      <c r="LF66" s="14"/>
      <c r="LG66" s="14"/>
      <c r="LH66" s="14"/>
      <c r="LI66" s="14"/>
      <c r="LJ66" s="14"/>
      <c r="LK66" s="14"/>
      <c r="LL66" s="14"/>
      <c r="LM66" s="14"/>
      <c r="LN66" s="22">
        <f t="shared" si="15"/>
        <v>0</v>
      </c>
      <c r="LO66" s="6" t="e">
        <f t="shared" si="16"/>
        <v>#DIV/0!</v>
      </c>
      <c r="LP66" s="21" t="e">
        <f t="shared" si="17"/>
        <v>#DIV/0!</v>
      </c>
      <c r="LQ66" s="7" t="e">
        <f t="shared" si="18"/>
        <v>#DIV/0!</v>
      </c>
      <c r="LR66" s="7" t="e">
        <f t="shared" si="19"/>
        <v>#DIV/0!</v>
      </c>
      <c r="LS66" s="7" t="e">
        <f t="shared" si="20"/>
        <v>#DIV/0!</v>
      </c>
      <c r="LT66" s="7" t="e">
        <f>MIN(LR66:LS66)</f>
        <v>#DIV/0!</v>
      </c>
    </row>
    <row r="67" spans="1:332">
      <c r="A67" s="21" t="s">
        <v>48</v>
      </c>
      <c r="B67" s="21" t="s">
        <v>76</v>
      </c>
      <c r="C67" s="21" t="s">
        <v>77</v>
      </c>
      <c r="D67" s="21" t="s">
        <v>52</v>
      </c>
      <c r="E67" s="5">
        <v>29.97</v>
      </c>
      <c r="F67" s="5">
        <v>29.954999999999998</v>
      </c>
      <c r="G67" s="5">
        <f t="shared" si="0"/>
        <v>29.962499999999999</v>
      </c>
      <c r="H67" s="7"/>
      <c r="I67" s="7"/>
      <c r="J67" s="7"/>
      <c r="K67" s="7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>
        <v>29.959</v>
      </c>
      <c r="AL67" s="5">
        <v>29.96</v>
      </c>
      <c r="AM67" s="5">
        <v>29.96</v>
      </c>
      <c r="AN67" s="5">
        <v>29.960999999999999</v>
      </c>
      <c r="AO67" s="5">
        <v>29.960999999999999</v>
      </c>
      <c r="AP67" s="5">
        <v>29.965</v>
      </c>
      <c r="AQ67" s="5">
        <v>29.968</v>
      </c>
      <c r="AR67" s="5">
        <v>29.966000000000001</v>
      </c>
      <c r="AS67" s="5">
        <v>29.965</v>
      </c>
      <c r="AT67" s="5">
        <v>29.968</v>
      </c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>
        <v>29.959</v>
      </c>
      <c r="BP67" s="5">
        <v>29.962</v>
      </c>
      <c r="BQ67" s="5">
        <v>29.966999999999999</v>
      </c>
      <c r="BR67" s="5">
        <v>29.960999999999999</v>
      </c>
      <c r="BS67" s="5">
        <v>29.963000000000001</v>
      </c>
      <c r="BT67" s="5">
        <v>29.954999999999998</v>
      </c>
      <c r="BU67" s="5">
        <v>29.957000000000001</v>
      </c>
      <c r="BV67" s="5">
        <v>29.957999999999998</v>
      </c>
      <c r="BW67" s="5">
        <v>29.956</v>
      </c>
      <c r="BX67" s="5">
        <v>29.954000000000001</v>
      </c>
      <c r="BY67" s="5">
        <v>29.956</v>
      </c>
      <c r="BZ67" s="5">
        <v>29.959</v>
      </c>
      <c r="CA67" s="5">
        <v>29.952999999999999</v>
      </c>
      <c r="CB67" s="5">
        <v>29.956</v>
      </c>
      <c r="CC67" s="5">
        <v>29.960999999999999</v>
      </c>
      <c r="CD67" s="5">
        <v>29.959</v>
      </c>
      <c r="CE67" s="5">
        <v>29.957000000000001</v>
      </c>
      <c r="CF67" s="5">
        <v>29.956</v>
      </c>
      <c r="CG67" s="5">
        <v>29.959</v>
      </c>
      <c r="CH67" s="5">
        <v>29.959</v>
      </c>
      <c r="CI67" s="5">
        <v>29.957000000000001</v>
      </c>
      <c r="CJ67" s="5">
        <v>29.959</v>
      </c>
      <c r="CK67" s="5">
        <v>29.957999999999998</v>
      </c>
      <c r="CL67" s="5">
        <v>29.959</v>
      </c>
      <c r="CM67" s="5">
        <v>29.957000000000001</v>
      </c>
      <c r="CN67" s="5">
        <v>29.956</v>
      </c>
      <c r="CO67" s="5">
        <v>29.959</v>
      </c>
      <c r="CP67" s="5">
        <v>29.957999999999998</v>
      </c>
      <c r="CQ67" s="5">
        <v>29.957000000000001</v>
      </c>
      <c r="CR67" s="5">
        <v>29.956</v>
      </c>
      <c r="CS67" s="5"/>
      <c r="CT67" s="5"/>
      <c r="CU67" s="5"/>
      <c r="CV67" s="5"/>
      <c r="CW67" s="5"/>
      <c r="CX67" s="5">
        <v>29.954000000000001</v>
      </c>
      <c r="CY67" s="5">
        <v>29.951000000000001</v>
      </c>
      <c r="CZ67" s="5">
        <v>29.954000000000001</v>
      </c>
      <c r="DA67" s="5">
        <v>29.957000000000001</v>
      </c>
      <c r="DB67" s="5">
        <v>29.959</v>
      </c>
      <c r="DC67" s="5">
        <v>29.956</v>
      </c>
      <c r="DD67" s="5">
        <v>29.954999999999998</v>
      </c>
      <c r="DE67" s="5">
        <v>29.957999999999998</v>
      </c>
      <c r="DF67" s="5">
        <v>29.956</v>
      </c>
      <c r="DG67" s="5">
        <v>29.954999999999998</v>
      </c>
      <c r="DH67" s="5">
        <v>29.954999999999998</v>
      </c>
      <c r="DI67" s="5">
        <v>29.951000000000001</v>
      </c>
      <c r="DJ67" s="5">
        <v>29.952999999999999</v>
      </c>
      <c r="DK67" s="5">
        <v>29.954000000000001</v>
      </c>
      <c r="DL67" s="5">
        <v>29.957999999999998</v>
      </c>
      <c r="DM67" s="5">
        <v>29.954000000000001</v>
      </c>
      <c r="DN67" s="5">
        <v>29.954000000000001</v>
      </c>
      <c r="DO67" s="5">
        <v>29.956</v>
      </c>
      <c r="DP67" s="5">
        <v>29.957999999999998</v>
      </c>
      <c r="DQ67" s="5">
        <v>29.954000000000001</v>
      </c>
      <c r="DR67" s="5">
        <v>29.957000000000001</v>
      </c>
      <c r="DS67" s="5">
        <v>29.960999999999999</v>
      </c>
      <c r="DT67" s="5">
        <v>29.963000000000001</v>
      </c>
      <c r="DU67" s="5">
        <v>29.960999999999999</v>
      </c>
      <c r="DV67" s="5">
        <v>29.965</v>
      </c>
      <c r="DW67" s="5">
        <v>29.957000000000001</v>
      </c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>
        <v>29.954000000000001</v>
      </c>
      <c r="HM67" s="5">
        <v>29.952999999999999</v>
      </c>
      <c r="HN67" s="5">
        <v>29.956</v>
      </c>
      <c r="HO67" s="5">
        <v>29.957000000000001</v>
      </c>
      <c r="HP67" s="5">
        <v>29.957000000000001</v>
      </c>
      <c r="HQ67" s="13">
        <v>29.956</v>
      </c>
      <c r="HR67" s="14">
        <v>29.954999999999998</v>
      </c>
      <c r="HS67" s="14">
        <v>29.957000000000001</v>
      </c>
      <c r="HT67" s="14">
        <v>29.954000000000001</v>
      </c>
      <c r="HU67" s="14"/>
      <c r="HV67" s="14"/>
      <c r="HW67" s="14"/>
      <c r="HX67" s="14"/>
      <c r="HY67" s="14"/>
      <c r="HZ67" s="14"/>
      <c r="IA67" s="14"/>
      <c r="IB67" s="11"/>
      <c r="IC67" s="11"/>
      <c r="ID67" s="11"/>
      <c r="IE67" s="11"/>
      <c r="IF67" s="11"/>
      <c r="IG67" s="11"/>
      <c r="IH67" s="11"/>
      <c r="II67" s="11"/>
      <c r="IJ67" s="11"/>
      <c r="IK67" s="11"/>
      <c r="IL67" s="14">
        <v>29.957999999999998</v>
      </c>
      <c r="IM67" s="14">
        <v>29.954999999999998</v>
      </c>
      <c r="IN67" s="14">
        <v>29.959</v>
      </c>
      <c r="IO67" s="14">
        <v>29.960999999999999</v>
      </c>
      <c r="IP67" s="14">
        <v>29.957000000000001</v>
      </c>
      <c r="IQ67" s="14"/>
      <c r="IR67" s="14"/>
      <c r="IS67" s="14"/>
      <c r="IT67" s="14"/>
      <c r="IU67" s="14"/>
      <c r="IV67" s="14">
        <v>29.952999999999999</v>
      </c>
      <c r="IW67" s="14">
        <v>29.954999999999998</v>
      </c>
      <c r="IX67" s="14">
        <v>29.956</v>
      </c>
      <c r="IY67" s="14">
        <v>29.954999999999998</v>
      </c>
      <c r="IZ67" s="14">
        <v>29.952999999999999</v>
      </c>
      <c r="JA67" s="14">
        <v>29.952000000000002</v>
      </c>
      <c r="JB67" s="14">
        <v>29.952999999999999</v>
      </c>
      <c r="JC67" s="14">
        <v>29.951000000000001</v>
      </c>
      <c r="JD67" s="14">
        <v>29.954000000000001</v>
      </c>
      <c r="JE67" s="14">
        <v>29.952000000000002</v>
      </c>
      <c r="JF67" s="14">
        <v>29.954999999999998</v>
      </c>
      <c r="JG67" s="14">
        <v>29.954000000000001</v>
      </c>
      <c r="JH67" s="14">
        <v>29.956</v>
      </c>
      <c r="JI67" s="14">
        <v>29.954999999999998</v>
      </c>
      <c r="JJ67" s="14">
        <v>29.957000000000001</v>
      </c>
      <c r="JK67" s="14">
        <v>29.954999999999998</v>
      </c>
      <c r="JL67" s="14">
        <v>29.954000000000001</v>
      </c>
      <c r="JM67" s="14">
        <v>29.951000000000001</v>
      </c>
      <c r="JN67" s="14">
        <v>29.956</v>
      </c>
      <c r="JO67" s="14">
        <v>29.951000000000001</v>
      </c>
      <c r="JP67" s="14">
        <v>29.963000000000001</v>
      </c>
      <c r="JQ67" s="14">
        <v>29.96</v>
      </c>
      <c r="JR67" s="14">
        <v>29.962</v>
      </c>
      <c r="JS67" s="14">
        <v>29.963999999999999</v>
      </c>
      <c r="JT67" s="14">
        <v>29.960999999999999</v>
      </c>
      <c r="JU67" s="14">
        <v>29.954999999999998</v>
      </c>
      <c r="JV67" s="14">
        <v>29.957000000000001</v>
      </c>
      <c r="JW67" s="14">
        <v>29.954999999999998</v>
      </c>
      <c r="JX67" s="14">
        <v>29.959</v>
      </c>
      <c r="JY67" s="14">
        <v>29.956</v>
      </c>
      <c r="JZ67" s="14">
        <v>29.954000000000001</v>
      </c>
      <c r="KA67" s="14">
        <v>29.956</v>
      </c>
      <c r="KB67" s="14">
        <v>29.954999999999998</v>
      </c>
      <c r="KC67" s="14">
        <v>29.957999999999998</v>
      </c>
      <c r="KD67" s="14">
        <v>29.956</v>
      </c>
      <c r="KE67" s="14">
        <v>29.954999999999998</v>
      </c>
      <c r="KF67" s="14">
        <v>293.95800000000003</v>
      </c>
      <c r="KG67" s="14">
        <v>29.956</v>
      </c>
      <c r="KH67" s="14">
        <v>29.957999999999998</v>
      </c>
      <c r="KI67" s="14">
        <v>29.957000000000001</v>
      </c>
      <c r="KJ67" s="14">
        <v>29.965</v>
      </c>
      <c r="KK67" s="14">
        <v>29.97</v>
      </c>
      <c r="KL67" s="14">
        <v>29.972999999999999</v>
      </c>
      <c r="KM67" s="14">
        <v>29.96</v>
      </c>
      <c r="KN67" s="14">
        <v>29.957999999999998</v>
      </c>
      <c r="KO67" s="14">
        <v>29.97</v>
      </c>
      <c r="KP67" s="14">
        <v>29.972999999999999</v>
      </c>
      <c r="KQ67" s="14">
        <v>29.969000000000001</v>
      </c>
      <c r="KR67" s="14">
        <v>29.968</v>
      </c>
      <c r="KS67" s="14">
        <v>29.97</v>
      </c>
      <c r="KT67" s="14"/>
      <c r="KU67" s="14"/>
      <c r="KV67" s="14"/>
      <c r="KW67" s="14"/>
      <c r="KX67" s="14"/>
      <c r="KY67" s="14"/>
      <c r="KZ67" s="14"/>
      <c r="LA67" s="14"/>
      <c r="LB67" s="14"/>
      <c r="LC67" s="14"/>
      <c r="LD67" s="14"/>
      <c r="LE67" s="14"/>
      <c r="LF67" s="14"/>
      <c r="LG67" s="14"/>
      <c r="LH67" s="14"/>
      <c r="LI67" s="14"/>
      <c r="LJ67" s="14"/>
      <c r="LK67" s="14"/>
      <c r="LL67" s="14"/>
      <c r="LM67" s="14"/>
      <c r="LN67" s="22">
        <f t="shared" si="15"/>
        <v>5</v>
      </c>
      <c r="LO67" s="6">
        <f t="shared" si="16"/>
        <v>74.978800000000007</v>
      </c>
      <c r="LP67" s="21">
        <f t="shared" si="17"/>
        <v>4.816637831517789E-3</v>
      </c>
      <c r="LQ67" s="7">
        <f t="shared" si="18"/>
        <v>2.0761369963432026</v>
      </c>
      <c r="LR67" s="7">
        <f t="shared" si="19"/>
        <v>2.159182476196734</v>
      </c>
      <c r="LS67" s="7">
        <f t="shared" si="20"/>
        <v>1.9930915164896712</v>
      </c>
      <c r="LT67" s="7">
        <f t="shared" si="7"/>
        <v>1.9930915164896712</v>
      </c>
    </row>
    <row r="68" spans="1:332">
      <c r="A68" s="21" t="s">
        <v>48</v>
      </c>
      <c r="B68" s="21" t="s">
        <v>76</v>
      </c>
      <c r="C68" s="21" t="s">
        <v>78</v>
      </c>
      <c r="D68" s="21" t="s">
        <v>33</v>
      </c>
      <c r="E68" s="5">
        <v>36.473999999999997</v>
      </c>
      <c r="F68" s="5">
        <v>36.448999999999998</v>
      </c>
      <c r="G68" s="5">
        <f t="shared" si="0"/>
        <v>36.461500000000001</v>
      </c>
      <c r="H68" s="7"/>
      <c r="I68" s="7"/>
      <c r="J68" s="7"/>
      <c r="K68" s="7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>
        <v>36.463999999999999</v>
      </c>
      <c r="CY68" s="5">
        <v>36.460999999999999</v>
      </c>
      <c r="CZ68" s="5">
        <v>36.462000000000003</v>
      </c>
      <c r="DA68" s="5">
        <v>36.463000000000001</v>
      </c>
      <c r="DB68" s="5">
        <v>36.460999999999999</v>
      </c>
      <c r="DC68" s="5">
        <v>36.465000000000003</v>
      </c>
      <c r="DD68" s="5">
        <v>36.463999999999999</v>
      </c>
      <c r="DE68" s="5">
        <v>36.463000000000001</v>
      </c>
      <c r="DF68" s="5">
        <v>36.462000000000003</v>
      </c>
      <c r="DG68" s="5">
        <v>36.465000000000003</v>
      </c>
      <c r="DH68" s="5">
        <v>36.466999999999999</v>
      </c>
      <c r="DI68" s="5">
        <v>36.466000000000001</v>
      </c>
      <c r="DJ68" s="5">
        <v>36.466999999999999</v>
      </c>
      <c r="DK68" s="5">
        <v>36.466000000000001</v>
      </c>
      <c r="DL68" s="5">
        <v>36.465000000000003</v>
      </c>
      <c r="DM68" s="5"/>
      <c r="DN68" s="5"/>
      <c r="DO68" s="5"/>
      <c r="DP68" s="5"/>
      <c r="DQ68" s="5"/>
      <c r="DR68" s="5">
        <v>36.454999999999998</v>
      </c>
      <c r="DS68" s="5">
        <v>26.46</v>
      </c>
      <c r="DT68" s="5">
        <v>36.468000000000004</v>
      </c>
      <c r="DU68" s="5">
        <v>36.457000000000001</v>
      </c>
      <c r="DV68" s="5">
        <v>36.451000000000001</v>
      </c>
      <c r="DW68" s="5">
        <v>36.472000000000001</v>
      </c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>
        <v>36.473999999999997</v>
      </c>
      <c r="HM68" s="5">
        <v>36.469000000000001</v>
      </c>
      <c r="HN68" s="5">
        <v>26.47</v>
      </c>
      <c r="HO68" s="5">
        <v>36.470999999999997</v>
      </c>
      <c r="HP68" s="5">
        <v>36.459000000000003</v>
      </c>
      <c r="HQ68" s="13">
        <v>36.462000000000003</v>
      </c>
      <c r="HR68" s="14">
        <v>36.463999999999999</v>
      </c>
      <c r="HS68" s="14">
        <v>36.463000000000001</v>
      </c>
      <c r="HT68" s="14">
        <v>36.460999999999999</v>
      </c>
      <c r="HU68" s="14"/>
      <c r="HV68" s="14"/>
      <c r="HW68" s="14"/>
      <c r="HX68" s="14"/>
      <c r="HY68" s="14"/>
      <c r="HZ68" s="14"/>
      <c r="IA68" s="14"/>
      <c r="IB68" s="11"/>
      <c r="IC68" s="11"/>
      <c r="ID68" s="11"/>
      <c r="IE68" s="11"/>
      <c r="IF68" s="11"/>
      <c r="IG68" s="11"/>
      <c r="IH68" s="11"/>
      <c r="II68" s="11"/>
      <c r="IJ68" s="11"/>
      <c r="IK68" s="11"/>
      <c r="IL68" s="14">
        <v>36.462000000000003</v>
      </c>
      <c r="IM68" s="14">
        <v>36.460999999999999</v>
      </c>
      <c r="IN68" s="14">
        <v>36.453000000000003</v>
      </c>
      <c r="IO68" s="14">
        <v>36.462000000000003</v>
      </c>
      <c r="IP68" s="14">
        <v>36.470999999999997</v>
      </c>
      <c r="IQ68" s="14"/>
      <c r="IR68" s="14"/>
      <c r="IS68" s="14"/>
      <c r="IT68" s="14"/>
      <c r="IU68" s="14"/>
      <c r="IV68" s="14">
        <v>36.463000000000001</v>
      </c>
      <c r="IW68" s="14">
        <v>36.451999999999998</v>
      </c>
      <c r="IX68" s="14">
        <v>36.459000000000003</v>
      </c>
      <c r="IY68" s="14">
        <v>36.465000000000003</v>
      </c>
      <c r="IZ68" s="14">
        <v>36.472000000000001</v>
      </c>
      <c r="JA68" s="14">
        <v>36.459000000000003</v>
      </c>
      <c r="JB68" s="14">
        <v>36.462000000000003</v>
      </c>
      <c r="JC68" s="14">
        <v>36.46</v>
      </c>
      <c r="JD68" s="14">
        <v>36.459000000000003</v>
      </c>
      <c r="JE68" s="14">
        <v>36.460999999999999</v>
      </c>
      <c r="JF68" s="14">
        <v>36.46</v>
      </c>
      <c r="JG68" s="14">
        <v>36.465000000000003</v>
      </c>
      <c r="JH68" s="14">
        <v>36.643000000000001</v>
      </c>
      <c r="JI68" s="14">
        <v>36.462000000000003</v>
      </c>
      <c r="JJ68" s="14">
        <v>36.463000000000001</v>
      </c>
      <c r="JK68" s="14">
        <v>36.460999999999999</v>
      </c>
      <c r="JL68" s="14">
        <v>36.463999999999999</v>
      </c>
      <c r="JM68" s="14">
        <v>36.426000000000002</v>
      </c>
      <c r="JN68" s="14">
        <v>36.463000000000001</v>
      </c>
      <c r="JO68" s="14">
        <v>36.460999999999999</v>
      </c>
      <c r="JP68" s="14">
        <v>36.469000000000001</v>
      </c>
      <c r="JQ68" s="14">
        <v>36.472999999999999</v>
      </c>
      <c r="JR68" s="14">
        <v>36.47</v>
      </c>
      <c r="JS68" s="14">
        <v>36.472000000000001</v>
      </c>
      <c r="JT68" s="14">
        <v>34.470999999999997</v>
      </c>
      <c r="JU68" s="14">
        <v>36.451000000000001</v>
      </c>
      <c r="JV68" s="14">
        <v>36.457000000000001</v>
      </c>
      <c r="JW68" s="14">
        <v>36.450000000000003</v>
      </c>
      <c r="JX68" s="14">
        <v>36.454999999999998</v>
      </c>
      <c r="JY68" s="14">
        <v>36.453000000000003</v>
      </c>
      <c r="JZ68" s="14">
        <v>36.466000000000001</v>
      </c>
      <c r="KA68" s="14">
        <v>36.465000000000003</v>
      </c>
      <c r="KB68" s="14">
        <v>36.463000000000001</v>
      </c>
      <c r="KC68" s="14">
        <v>36.462000000000003</v>
      </c>
      <c r="KD68" s="14">
        <v>36.463999999999999</v>
      </c>
      <c r="KE68" s="14">
        <v>36.468000000000004</v>
      </c>
      <c r="KF68" s="14">
        <v>36.466999999999999</v>
      </c>
      <c r="KG68" s="14">
        <v>36.469000000000001</v>
      </c>
      <c r="KH68" s="14">
        <v>63.468000000000004</v>
      </c>
      <c r="KI68" s="14">
        <v>36.469000000000001</v>
      </c>
      <c r="KJ68" s="14">
        <v>36.465000000000003</v>
      </c>
      <c r="KK68" s="14">
        <v>36.465000000000003</v>
      </c>
      <c r="KL68" s="14">
        <v>36.469000000000001</v>
      </c>
      <c r="KM68" s="14">
        <v>36.457999999999998</v>
      </c>
      <c r="KN68" s="14">
        <v>36.457000000000001</v>
      </c>
      <c r="KO68" s="14">
        <v>36.469000000000001</v>
      </c>
      <c r="KP68" s="14">
        <v>36.466999999999999</v>
      </c>
      <c r="KQ68" s="14">
        <v>36.465000000000003</v>
      </c>
      <c r="KR68" s="14">
        <v>36.457999999999998</v>
      </c>
      <c r="KS68" s="14">
        <v>36.46</v>
      </c>
      <c r="KT68" s="14"/>
      <c r="KU68" s="14"/>
      <c r="KV68" s="14"/>
      <c r="KW68" s="14"/>
      <c r="KX68" s="14"/>
      <c r="KY68" s="14"/>
      <c r="KZ68" s="14"/>
      <c r="LA68" s="14"/>
      <c r="LB68" s="14"/>
      <c r="LC68" s="14"/>
      <c r="LD68" s="14"/>
      <c r="LE68" s="14"/>
      <c r="LF68" s="14"/>
      <c r="LG68" s="14"/>
      <c r="LH68" s="14"/>
      <c r="LI68" s="14"/>
      <c r="LJ68" s="14"/>
      <c r="LK68" s="14"/>
      <c r="LL68" s="14"/>
      <c r="LM68" s="14"/>
      <c r="LN68" s="22">
        <f t="shared" si="15"/>
        <v>5</v>
      </c>
      <c r="LO68" s="6">
        <f t="shared" si="16"/>
        <v>77.006799999999998</v>
      </c>
      <c r="LP68" s="21">
        <f t="shared" si="17"/>
        <v>3.2710854467592042E-3</v>
      </c>
      <c r="LQ68" s="7">
        <f t="shared" si="18"/>
        <v>1.0190297341927088</v>
      </c>
      <c r="LR68" s="7">
        <f t="shared" si="19"/>
        <v>1.3451192491344046</v>
      </c>
      <c r="LS68" s="7">
        <f t="shared" si="20"/>
        <v>0.69294021925101301</v>
      </c>
      <c r="LT68" s="7">
        <f t="shared" si="7"/>
        <v>0.69294021925101301</v>
      </c>
    </row>
    <row r="69" spans="1:332">
      <c r="A69" s="21" t="s">
        <v>79</v>
      </c>
      <c r="B69" s="21" t="s">
        <v>80</v>
      </c>
      <c r="C69" s="21"/>
      <c r="D69" s="21" t="s">
        <v>34</v>
      </c>
      <c r="E69" s="5">
        <v>75.010000000000005</v>
      </c>
      <c r="F69" s="5">
        <v>74.95</v>
      </c>
      <c r="G69" s="5">
        <f t="shared" si="0"/>
        <v>74.98</v>
      </c>
      <c r="H69" s="7"/>
      <c r="I69" s="7"/>
      <c r="J69" s="7"/>
      <c r="K69" s="7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>
        <v>74.978999999999999</v>
      </c>
      <c r="BU69" s="5">
        <v>74.984999999999999</v>
      </c>
      <c r="BV69" s="5">
        <v>74.977000000000004</v>
      </c>
      <c r="BW69" s="5">
        <v>74.971999999999994</v>
      </c>
      <c r="BX69" s="5">
        <v>74.980999999999995</v>
      </c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>
        <v>74.965999999999994</v>
      </c>
      <c r="CY69" s="5">
        <v>94.962000000000003</v>
      </c>
      <c r="CZ69" s="5">
        <v>74.966999999999999</v>
      </c>
      <c r="DA69" s="5">
        <v>74.971000000000004</v>
      </c>
      <c r="DB69" s="5">
        <v>74.963999999999999</v>
      </c>
      <c r="DC69" s="5"/>
      <c r="DD69" s="5"/>
      <c r="DE69" s="5"/>
      <c r="DF69" s="5"/>
      <c r="DG69" s="5"/>
      <c r="DH69" s="5">
        <v>74.97</v>
      </c>
      <c r="DI69" s="5">
        <v>74.971999999999994</v>
      </c>
      <c r="DJ69" s="5">
        <v>74.968000000000004</v>
      </c>
      <c r="DK69" s="5">
        <v>74.965999999999994</v>
      </c>
      <c r="DL69" s="5">
        <v>74.962999999999994</v>
      </c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13"/>
      <c r="HR69" s="14"/>
      <c r="HS69" s="14"/>
      <c r="HT69" s="14"/>
      <c r="HU69" s="14"/>
      <c r="HV69" s="14"/>
      <c r="HW69" s="14"/>
      <c r="HX69" s="14"/>
      <c r="HY69" s="14"/>
      <c r="HZ69" s="14"/>
      <c r="IA69" s="14"/>
      <c r="IB69" s="11"/>
      <c r="IC69" s="11"/>
      <c r="ID69" s="11"/>
      <c r="IE69" s="11"/>
      <c r="IF69" s="11"/>
      <c r="IG69" s="11"/>
      <c r="IH69" s="11"/>
      <c r="II69" s="11"/>
      <c r="IJ69" s="11"/>
      <c r="IK69" s="11"/>
      <c r="IL69" s="14"/>
      <c r="IM69" s="14"/>
      <c r="IN69" s="14"/>
      <c r="IO69" s="14"/>
      <c r="IP69" s="14"/>
      <c r="IQ69" s="14"/>
      <c r="IR69" s="14"/>
      <c r="IS69" s="14"/>
      <c r="IT69" s="14"/>
      <c r="IU69" s="14"/>
      <c r="IV69" s="14"/>
      <c r="IW69" s="14"/>
      <c r="IX69" s="14"/>
      <c r="IY69" s="14"/>
      <c r="IZ69" s="14"/>
      <c r="JA69" s="14"/>
      <c r="JB69" s="14"/>
      <c r="JC69" s="14"/>
      <c r="JD69" s="14"/>
      <c r="JE69" s="14"/>
      <c r="JF69" s="14"/>
      <c r="JG69" s="14"/>
      <c r="JH69" s="14"/>
      <c r="JI69" s="14"/>
      <c r="JJ69" s="14"/>
      <c r="JK69" s="14"/>
      <c r="JL69" s="14"/>
      <c r="JM69" s="14"/>
      <c r="JN69" s="14"/>
      <c r="JO69" s="14"/>
      <c r="JP69" s="14"/>
      <c r="JQ69" s="14"/>
      <c r="JR69" s="14"/>
      <c r="JS69" s="14"/>
      <c r="JT69" s="14"/>
      <c r="JU69" s="14"/>
      <c r="JV69" s="14"/>
      <c r="JW69" s="14"/>
      <c r="JX69" s="14"/>
      <c r="JY69" s="14"/>
      <c r="JZ69" s="14"/>
      <c r="KA69" s="14"/>
      <c r="KB69" s="14"/>
      <c r="KC69" s="14"/>
      <c r="KD69" s="14"/>
      <c r="KE69" s="14"/>
      <c r="KF69" s="14"/>
      <c r="KG69" s="14"/>
      <c r="KH69" s="14"/>
      <c r="KI69" s="14"/>
      <c r="KJ69" s="14"/>
      <c r="KK69" s="14"/>
      <c r="KL69" s="14"/>
      <c r="KM69" s="14"/>
      <c r="KN69" s="14"/>
      <c r="KO69" s="14"/>
      <c r="KP69" s="14"/>
      <c r="KQ69" s="14"/>
      <c r="KR69" s="14"/>
      <c r="KS69" s="14"/>
      <c r="KT69" s="14"/>
      <c r="KU69" s="14"/>
      <c r="KV69" s="14"/>
      <c r="KW69" s="14"/>
      <c r="KX69" s="14"/>
      <c r="KY69" s="14"/>
      <c r="KZ69" s="14"/>
      <c r="LA69" s="14"/>
      <c r="LB69" s="14"/>
      <c r="LC69" s="14"/>
      <c r="LD69" s="14"/>
      <c r="LE69" s="14"/>
      <c r="LF69" s="14"/>
      <c r="LG69" s="14"/>
      <c r="LH69" s="14"/>
      <c r="LI69" s="14"/>
      <c r="LJ69" s="14"/>
      <c r="LK69" s="14"/>
      <c r="LL69" s="14"/>
      <c r="LM69" s="14"/>
      <c r="LN69" s="22">
        <f t="shared" si="15"/>
        <v>5</v>
      </c>
      <c r="LO69" s="6">
        <f t="shared" si="16"/>
        <v>81.960999999999999</v>
      </c>
      <c r="LP69" s="21">
        <f t="shared" si="17"/>
        <v>2.0000000000006679E-3</v>
      </c>
      <c r="LQ69" s="7">
        <f t="shared" si="18"/>
        <v>0.74999999999977796</v>
      </c>
      <c r="LR69" s="7">
        <f t="shared" si="19"/>
        <v>2.3333333333318529</v>
      </c>
      <c r="LS69" s="7">
        <f t="shared" si="20"/>
        <v>-0.83333333333229709</v>
      </c>
      <c r="LT69" s="7">
        <f t="shared" si="7"/>
        <v>-0.83333333333229709</v>
      </c>
    </row>
    <row r="70" spans="1:332">
      <c r="A70" s="21" t="s">
        <v>79</v>
      </c>
      <c r="B70" s="21" t="s">
        <v>80</v>
      </c>
      <c r="C70" s="21"/>
      <c r="D70" s="21" t="s">
        <v>81</v>
      </c>
      <c r="E70" s="5">
        <v>77.02</v>
      </c>
      <c r="F70" s="5">
        <v>77</v>
      </c>
      <c r="G70" s="5">
        <f t="shared" si="0"/>
        <v>77.009999999999991</v>
      </c>
      <c r="H70" s="7"/>
      <c r="I70" s="7"/>
      <c r="J70" s="7"/>
      <c r="K70" s="7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>
        <v>77.001999999999995</v>
      </c>
      <c r="BU70" s="5">
        <v>77.007999999999996</v>
      </c>
      <c r="BV70" s="5">
        <v>77.006</v>
      </c>
      <c r="BW70" s="5">
        <v>77.010999999999996</v>
      </c>
      <c r="BX70" s="5">
        <v>77.007000000000005</v>
      </c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>
        <v>77.001000000000005</v>
      </c>
      <c r="CY70" s="5">
        <v>77.003</v>
      </c>
      <c r="CZ70" s="5">
        <v>77.001999999999995</v>
      </c>
      <c r="DA70" s="5">
        <v>77.004999999999995</v>
      </c>
      <c r="DB70" s="5">
        <v>77.007000000000005</v>
      </c>
      <c r="DC70" s="5"/>
      <c r="DD70" s="5"/>
      <c r="DE70" s="5"/>
      <c r="DF70" s="5"/>
      <c r="DG70" s="5"/>
      <c r="DH70" s="5">
        <v>77.006</v>
      </c>
      <c r="DI70" s="5">
        <v>77.001999999999995</v>
      </c>
      <c r="DJ70" s="5">
        <v>77.007999999999996</v>
      </c>
      <c r="DK70" s="5">
        <v>77.003</v>
      </c>
      <c r="DL70" s="5">
        <v>77.004999999999995</v>
      </c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13"/>
      <c r="HR70" s="14"/>
      <c r="HS70" s="14"/>
      <c r="HT70" s="14"/>
      <c r="HU70" s="14"/>
      <c r="HV70" s="14"/>
      <c r="HW70" s="14"/>
      <c r="HX70" s="14"/>
      <c r="HY70" s="14"/>
      <c r="HZ70" s="14"/>
      <c r="IA70" s="14"/>
      <c r="IB70" s="11"/>
      <c r="IC70" s="11"/>
      <c r="ID70" s="11"/>
      <c r="IE70" s="11"/>
      <c r="IF70" s="11"/>
      <c r="IG70" s="11"/>
      <c r="IH70" s="11"/>
      <c r="II70" s="11"/>
      <c r="IJ70" s="11"/>
      <c r="IK70" s="11"/>
      <c r="IL70" s="14"/>
      <c r="IM70" s="14"/>
      <c r="IN70" s="14"/>
      <c r="IO70" s="14"/>
      <c r="IP70" s="14"/>
      <c r="IQ70" s="14"/>
      <c r="IR70" s="14"/>
      <c r="IS70" s="14"/>
      <c r="IT70" s="14"/>
      <c r="IU70" s="14"/>
      <c r="IV70" s="14"/>
      <c r="IW70" s="14"/>
      <c r="IX70" s="14"/>
      <c r="IY70" s="14"/>
      <c r="IZ70" s="14"/>
      <c r="JA70" s="14"/>
      <c r="JB70" s="14"/>
      <c r="JC70" s="14"/>
      <c r="JD70" s="14"/>
      <c r="JE70" s="14"/>
      <c r="JF70" s="14"/>
      <c r="JG70" s="14"/>
      <c r="JH70" s="14"/>
      <c r="JI70" s="14"/>
      <c r="JJ70" s="14"/>
      <c r="JK70" s="14"/>
      <c r="JL70" s="14"/>
      <c r="JM70" s="14"/>
      <c r="JN70" s="14"/>
      <c r="JO70" s="14"/>
      <c r="JP70" s="14"/>
      <c r="JQ70" s="14"/>
      <c r="JR70" s="14"/>
      <c r="JS70" s="14"/>
      <c r="JT70" s="14"/>
      <c r="JU70" s="14"/>
      <c r="JV70" s="14"/>
      <c r="JW70" s="14"/>
      <c r="JX70" s="14"/>
      <c r="JY70" s="14"/>
      <c r="JZ70" s="14"/>
      <c r="KA70" s="14"/>
      <c r="KB70" s="14"/>
      <c r="KC70" s="14"/>
      <c r="KD70" s="14"/>
      <c r="KE70" s="14"/>
      <c r="KF70" s="14"/>
      <c r="KG70" s="14"/>
      <c r="KH70" s="14"/>
      <c r="KI70" s="14"/>
      <c r="KJ70" s="14"/>
      <c r="KK70" s="14"/>
      <c r="KL70" s="14"/>
      <c r="KM70" s="14"/>
      <c r="KN70" s="14"/>
      <c r="KO70" s="14"/>
      <c r="KP70" s="14"/>
      <c r="KQ70" s="14"/>
      <c r="KR70" s="14"/>
      <c r="KS70" s="14"/>
      <c r="KT70" s="14"/>
      <c r="KU70" s="14"/>
      <c r="KV70" s="14"/>
      <c r="KW70" s="14"/>
      <c r="KX70" s="14"/>
      <c r="KY70" s="14"/>
      <c r="KZ70" s="14"/>
      <c r="LA70" s="14"/>
      <c r="LB70" s="14"/>
      <c r="LC70" s="14"/>
      <c r="LD70" s="14"/>
      <c r="LE70" s="14"/>
      <c r="LF70" s="14"/>
      <c r="LG70" s="14"/>
      <c r="LH70" s="14"/>
      <c r="LI70" s="14"/>
      <c r="LJ70" s="14"/>
      <c r="LK70" s="14"/>
      <c r="LL70" s="14"/>
      <c r="LM70" s="14"/>
      <c r="LN70" s="22">
        <f t="shared" si="15"/>
        <v>5</v>
      </c>
      <c r="LO70" s="6">
        <f t="shared" si="16"/>
        <v>21.994799999999998</v>
      </c>
      <c r="LP70" s="21">
        <f t="shared" si="17"/>
        <v>2.7748873851017441E-3</v>
      </c>
      <c r="LQ70" s="7">
        <f t="shared" si="18"/>
        <v>1.8018749253915611</v>
      </c>
      <c r="LR70" s="7">
        <f t="shared" si="19"/>
        <v>3.027149874657908</v>
      </c>
      <c r="LS70" s="7">
        <f t="shared" si="20"/>
        <v>0.57659997612521419</v>
      </c>
      <c r="LT70" s="7">
        <f t="shared" si="7"/>
        <v>0.57659997612521419</v>
      </c>
    </row>
    <row r="71" spans="1:332">
      <c r="A71" s="21" t="s">
        <v>79</v>
      </c>
      <c r="B71" s="21" t="s">
        <v>80</v>
      </c>
      <c r="C71" s="21"/>
      <c r="D71" s="21" t="s">
        <v>82</v>
      </c>
      <c r="E71" s="5">
        <v>81.974999999999994</v>
      </c>
      <c r="F71" s="5">
        <v>81.965999999999994</v>
      </c>
      <c r="G71" s="5">
        <f t="shared" si="0"/>
        <v>81.970499999999987</v>
      </c>
      <c r="H71" s="7"/>
      <c r="I71" s="7"/>
      <c r="J71" s="7"/>
      <c r="K71" s="7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>
        <v>81.962999999999994</v>
      </c>
      <c r="BU71" s="5">
        <v>81.962000000000003</v>
      </c>
      <c r="BV71" s="5">
        <v>81.957999999999998</v>
      </c>
      <c r="BW71" s="5">
        <v>81.96</v>
      </c>
      <c r="BX71" s="5">
        <v>81.962000000000003</v>
      </c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>
        <v>81.962999999999994</v>
      </c>
      <c r="CY71" s="5">
        <v>81.966999999999999</v>
      </c>
      <c r="CZ71" s="5">
        <v>81.962000000000003</v>
      </c>
      <c r="DA71" s="5">
        <v>81.965999999999994</v>
      </c>
      <c r="DB71" s="5">
        <v>81.963999999999999</v>
      </c>
      <c r="DC71" s="5"/>
      <c r="DD71" s="5"/>
      <c r="DE71" s="5"/>
      <c r="DF71" s="5"/>
      <c r="DG71" s="5"/>
      <c r="DH71" s="5">
        <v>81.963999999999999</v>
      </c>
      <c r="DI71" s="5">
        <v>81.965999999999994</v>
      </c>
      <c r="DJ71" s="5">
        <v>81.960999999999999</v>
      </c>
      <c r="DK71" s="5">
        <v>81.962999999999994</v>
      </c>
      <c r="DL71" s="5">
        <v>81.965000000000003</v>
      </c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13"/>
      <c r="HR71" s="14"/>
      <c r="HS71" s="14"/>
      <c r="HT71" s="14"/>
      <c r="HU71" s="14"/>
      <c r="HV71" s="14"/>
      <c r="HW71" s="14"/>
      <c r="HX71" s="14"/>
      <c r="HY71" s="14"/>
      <c r="HZ71" s="14"/>
      <c r="IA71" s="14"/>
      <c r="IB71" s="11"/>
      <c r="IC71" s="11"/>
      <c r="ID71" s="11"/>
      <c r="IE71" s="11"/>
      <c r="IF71" s="11"/>
      <c r="IG71" s="11"/>
      <c r="IH71" s="11"/>
      <c r="II71" s="11"/>
      <c r="IJ71" s="11"/>
      <c r="IK71" s="11"/>
      <c r="IL71" s="14"/>
      <c r="IM71" s="14"/>
      <c r="IN71" s="14"/>
      <c r="IO71" s="14"/>
      <c r="IP71" s="14"/>
      <c r="IQ71" s="14"/>
      <c r="IR71" s="14"/>
      <c r="IS71" s="14"/>
      <c r="IT71" s="14"/>
      <c r="IU71" s="14"/>
      <c r="IV71" s="14"/>
      <c r="IW71" s="14"/>
      <c r="IX71" s="14"/>
      <c r="IY71" s="14"/>
      <c r="IZ71" s="14"/>
      <c r="JA71" s="14"/>
      <c r="JB71" s="14"/>
      <c r="JC71" s="14"/>
      <c r="JD71" s="14"/>
      <c r="JE71" s="14"/>
      <c r="JF71" s="14"/>
      <c r="JG71" s="14"/>
      <c r="JH71" s="14"/>
      <c r="JI71" s="14"/>
      <c r="JJ71" s="14"/>
      <c r="JK71" s="14"/>
      <c r="JL71" s="14"/>
      <c r="JM71" s="14"/>
      <c r="JN71" s="14"/>
      <c r="JO71" s="14"/>
      <c r="JP71" s="14"/>
      <c r="JQ71" s="14"/>
      <c r="JR71" s="14"/>
      <c r="JS71" s="14"/>
      <c r="JT71" s="14"/>
      <c r="JU71" s="14"/>
      <c r="JV71" s="14"/>
      <c r="JW71" s="14"/>
      <c r="JX71" s="14"/>
      <c r="JY71" s="14"/>
      <c r="JZ71" s="14"/>
      <c r="KA71" s="14"/>
      <c r="KB71" s="14"/>
      <c r="KC71" s="14"/>
      <c r="KD71" s="14"/>
      <c r="KE71" s="14"/>
      <c r="KF71" s="14"/>
      <c r="KG71" s="14"/>
      <c r="KH71" s="14"/>
      <c r="KI71" s="14"/>
      <c r="KJ71" s="14"/>
      <c r="KK71" s="14"/>
      <c r="KL71" s="14"/>
      <c r="KM71" s="14"/>
      <c r="KN71" s="14"/>
      <c r="KO71" s="14"/>
      <c r="KP71" s="14"/>
      <c r="KQ71" s="14"/>
      <c r="KR71" s="14"/>
      <c r="KS71" s="14"/>
      <c r="KT71" s="14"/>
      <c r="KU71" s="14"/>
      <c r="KV71" s="14"/>
      <c r="KW71" s="14"/>
      <c r="KX71" s="14"/>
      <c r="KY71" s="14"/>
      <c r="KZ71" s="14"/>
      <c r="LA71" s="14"/>
      <c r="LB71" s="14"/>
      <c r="LC71" s="14"/>
      <c r="LD71" s="14"/>
      <c r="LE71" s="14"/>
      <c r="LF71" s="14"/>
      <c r="LG71" s="14"/>
      <c r="LH71" s="14"/>
      <c r="LI71" s="14"/>
      <c r="LJ71" s="14"/>
      <c r="LK71" s="14"/>
      <c r="LL71" s="14"/>
      <c r="LM71" s="14"/>
      <c r="LN71" s="22">
        <f t="shared" si="15"/>
        <v>5</v>
      </c>
      <c r="LO71" s="6">
        <f t="shared" si="16"/>
        <v>26.448399999999999</v>
      </c>
      <c r="LP71" s="21">
        <f t="shared" si="17"/>
        <v>6.3874877690683219E-3</v>
      </c>
      <c r="LQ71" s="7">
        <f t="shared" si="18"/>
        <v>0.6523169698804403</v>
      </c>
      <c r="LR71" s="7">
        <f t="shared" si="19"/>
        <v>0.60535014804906939</v>
      </c>
      <c r="LS71" s="7">
        <f t="shared" si="20"/>
        <v>0.69928379171181132</v>
      </c>
      <c r="LT71" s="7">
        <f t="shared" si="7"/>
        <v>0.60535014804906939</v>
      </c>
    </row>
    <row r="72" spans="1:332">
      <c r="A72" s="21" t="s">
        <v>79</v>
      </c>
      <c r="B72" s="21" t="s">
        <v>80</v>
      </c>
      <c r="C72" s="21"/>
      <c r="D72" s="21" t="s">
        <v>83</v>
      </c>
      <c r="E72" s="5">
        <v>22.02</v>
      </c>
      <c r="F72" s="5">
        <v>21.99</v>
      </c>
      <c r="G72" s="5">
        <f t="shared" si="0"/>
        <v>22.004999999999999</v>
      </c>
      <c r="H72" s="7"/>
      <c r="I72" s="7"/>
      <c r="J72" s="7"/>
      <c r="K72" s="7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>
        <v>21.992000000000001</v>
      </c>
      <c r="BU72" s="5">
        <v>21.994</v>
      </c>
      <c r="BV72" s="5">
        <v>21.992999999999999</v>
      </c>
      <c r="BW72" s="5">
        <v>21.998999999999999</v>
      </c>
      <c r="BX72" s="5">
        <v>21.995999999999999</v>
      </c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>
        <v>21.977</v>
      </c>
      <c r="CY72" s="5">
        <v>21.966000000000001</v>
      </c>
      <c r="CZ72" s="5">
        <v>21.99</v>
      </c>
      <c r="DA72" s="5">
        <v>21.992000000000001</v>
      </c>
      <c r="DB72" s="5">
        <v>21.995999999999999</v>
      </c>
      <c r="DC72" s="5"/>
      <c r="DD72" s="5"/>
      <c r="DE72" s="5"/>
      <c r="DF72" s="5"/>
      <c r="DG72" s="5"/>
      <c r="DH72" s="5">
        <v>21.997</v>
      </c>
      <c r="DI72" s="5">
        <v>21.995999999999999</v>
      </c>
      <c r="DJ72" s="5">
        <v>21.992000000000001</v>
      </c>
      <c r="DK72" s="5">
        <v>21.99</v>
      </c>
      <c r="DL72" s="5">
        <v>21.994</v>
      </c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13"/>
      <c r="HR72" s="14"/>
      <c r="HS72" s="14"/>
      <c r="HT72" s="14"/>
      <c r="HU72" s="14"/>
      <c r="HV72" s="14"/>
      <c r="HW72" s="14"/>
      <c r="HX72" s="14"/>
      <c r="HY72" s="14"/>
      <c r="HZ72" s="14"/>
      <c r="IA72" s="14"/>
      <c r="IB72" s="11"/>
      <c r="IC72" s="11"/>
      <c r="ID72" s="11"/>
      <c r="IE72" s="11"/>
      <c r="IF72" s="11"/>
      <c r="IG72" s="11"/>
      <c r="IH72" s="11"/>
      <c r="II72" s="11"/>
      <c r="IJ72" s="11"/>
      <c r="IK72" s="11"/>
      <c r="IL72" s="14"/>
      <c r="IM72" s="14"/>
      <c r="IN72" s="14"/>
      <c r="IO72" s="14"/>
      <c r="IP72" s="14"/>
      <c r="IQ72" s="14"/>
      <c r="IR72" s="14"/>
      <c r="IS72" s="14"/>
      <c r="IT72" s="14"/>
      <c r="IU72" s="14"/>
      <c r="IV72" s="14"/>
      <c r="IW72" s="14"/>
      <c r="IX72" s="14"/>
      <c r="IY72" s="14"/>
      <c r="IZ72" s="14"/>
      <c r="JA72" s="14"/>
      <c r="JB72" s="14"/>
      <c r="JC72" s="14"/>
      <c r="JD72" s="14"/>
      <c r="JE72" s="14"/>
      <c r="JF72" s="14"/>
      <c r="JG72" s="14"/>
      <c r="JH72" s="14"/>
      <c r="JI72" s="14"/>
      <c r="JJ72" s="14"/>
      <c r="JK72" s="14"/>
      <c r="JL72" s="14"/>
      <c r="JM72" s="14"/>
      <c r="JN72" s="14"/>
      <c r="JO72" s="14"/>
      <c r="JP72" s="14"/>
      <c r="JQ72" s="14"/>
      <c r="JR72" s="14"/>
      <c r="JS72" s="14"/>
      <c r="JT72" s="14"/>
      <c r="JU72" s="14"/>
      <c r="JV72" s="14"/>
      <c r="JW72" s="14"/>
      <c r="JX72" s="14"/>
      <c r="JY72" s="14"/>
      <c r="JZ72" s="14"/>
      <c r="KA72" s="14"/>
      <c r="KB72" s="14"/>
      <c r="KC72" s="14"/>
      <c r="KD72" s="14"/>
      <c r="KE72" s="14"/>
      <c r="KF72" s="14"/>
      <c r="KG72" s="14"/>
      <c r="KH72" s="14"/>
      <c r="KI72" s="14"/>
      <c r="KJ72" s="14"/>
      <c r="KK72" s="14"/>
      <c r="KL72" s="14"/>
      <c r="KM72" s="14"/>
      <c r="KN72" s="14"/>
      <c r="KO72" s="14"/>
      <c r="KP72" s="14"/>
      <c r="KQ72" s="14"/>
      <c r="KR72" s="14"/>
      <c r="KS72" s="14"/>
      <c r="KT72" s="14"/>
      <c r="KU72" s="14"/>
      <c r="KV72" s="14"/>
      <c r="KW72" s="14"/>
      <c r="KX72" s="14"/>
      <c r="KY72" s="14"/>
      <c r="KZ72" s="14"/>
      <c r="LA72" s="14"/>
      <c r="LB72" s="14"/>
      <c r="LC72" s="14"/>
      <c r="LD72" s="14"/>
      <c r="LE72" s="14"/>
      <c r="LF72" s="14"/>
      <c r="LG72" s="14"/>
      <c r="LH72" s="14"/>
      <c r="LI72" s="14"/>
      <c r="LJ72" s="14"/>
      <c r="LK72" s="14"/>
      <c r="LL72" s="14"/>
      <c r="LM72" s="14"/>
      <c r="LN72" s="22">
        <f t="shared" si="15"/>
        <v>10</v>
      </c>
      <c r="LO72" s="6">
        <f t="shared" si="16"/>
        <v>132.583</v>
      </c>
      <c r="LP72" s="21">
        <f t="shared" si="17"/>
        <v>1.494434118097235E-2</v>
      </c>
      <c r="LQ72" s="7">
        <f t="shared" si="18"/>
        <v>0.84758949981637222</v>
      </c>
      <c r="LR72" s="7">
        <f t="shared" si="19"/>
        <v>0.95911443400296215</v>
      </c>
      <c r="LS72" s="7">
        <f t="shared" si="20"/>
        <v>0.73606456562978229</v>
      </c>
      <c r="LT72" s="7">
        <f>MIN(LR72:LS72)</f>
        <v>0.73606456562978229</v>
      </c>
    </row>
    <row r="73" spans="1:332">
      <c r="A73" s="21" t="s">
        <v>79</v>
      </c>
      <c r="B73" s="21" t="s">
        <v>80</v>
      </c>
      <c r="C73" s="21"/>
      <c r="D73" s="21" t="s">
        <v>84</v>
      </c>
      <c r="E73" s="5">
        <v>26.46</v>
      </c>
      <c r="F73" s="5">
        <v>26.434999999999999</v>
      </c>
      <c r="G73" s="5">
        <f t="shared" si="0"/>
        <v>26.447499999999998</v>
      </c>
      <c r="H73" s="7"/>
      <c r="I73" s="7"/>
      <c r="J73" s="7"/>
      <c r="K73" s="7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>
        <v>26.456</v>
      </c>
      <c r="BU73" s="5">
        <v>26.443999999999999</v>
      </c>
      <c r="BV73" s="5">
        <v>26.45</v>
      </c>
      <c r="BW73" s="5">
        <v>26.452000000000002</v>
      </c>
      <c r="BX73" s="5">
        <v>26.44</v>
      </c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>
        <v>26.437999999999999</v>
      </c>
      <c r="CY73" s="5">
        <v>26.442</v>
      </c>
      <c r="CZ73" s="5">
        <v>26.445</v>
      </c>
      <c r="DA73" s="5">
        <v>26.449000000000002</v>
      </c>
      <c r="DB73" s="5">
        <v>26.452999999999999</v>
      </c>
      <c r="DC73" s="5"/>
      <c r="DD73" s="5"/>
      <c r="DE73" s="5"/>
      <c r="DF73" s="5"/>
      <c r="DG73" s="5"/>
      <c r="DH73" s="5">
        <v>26.45</v>
      </c>
      <c r="DI73" s="5">
        <v>26.454000000000001</v>
      </c>
      <c r="DJ73" s="5">
        <v>26.452999999999999</v>
      </c>
      <c r="DK73" s="5">
        <v>26.442</v>
      </c>
      <c r="DL73" s="5">
        <v>26.454000000000001</v>
      </c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13"/>
      <c r="HR73" s="14"/>
      <c r="HS73" s="14"/>
      <c r="HT73" s="14"/>
      <c r="HU73" s="14"/>
      <c r="HV73" s="14"/>
      <c r="HW73" s="14"/>
      <c r="HX73" s="14"/>
      <c r="HY73" s="14"/>
      <c r="HZ73" s="14"/>
      <c r="IA73" s="14"/>
      <c r="IB73" s="11"/>
      <c r="IC73" s="11"/>
      <c r="ID73" s="11"/>
      <c r="IE73" s="11"/>
      <c r="IF73" s="11"/>
      <c r="IG73" s="11"/>
      <c r="IH73" s="11"/>
      <c r="II73" s="11"/>
      <c r="IJ73" s="11"/>
      <c r="IK73" s="11"/>
      <c r="IL73" s="14"/>
      <c r="IM73" s="14"/>
      <c r="IN73" s="14"/>
      <c r="IO73" s="14"/>
      <c r="IP73" s="14"/>
      <c r="IQ73" s="14"/>
      <c r="IR73" s="14"/>
      <c r="IS73" s="14"/>
      <c r="IT73" s="14"/>
      <c r="IU73" s="14"/>
      <c r="IV73" s="14"/>
      <c r="IW73" s="14"/>
      <c r="IX73" s="14"/>
      <c r="IY73" s="14"/>
      <c r="IZ73" s="14"/>
      <c r="JA73" s="14"/>
      <c r="JB73" s="14"/>
      <c r="JC73" s="14"/>
      <c r="JD73" s="14"/>
      <c r="JE73" s="14"/>
      <c r="JF73" s="14"/>
      <c r="JG73" s="14"/>
      <c r="JH73" s="14"/>
      <c r="JI73" s="14"/>
      <c r="JJ73" s="14"/>
      <c r="JK73" s="14"/>
      <c r="JL73" s="14"/>
      <c r="JM73" s="14"/>
      <c r="JN73" s="14"/>
      <c r="JO73" s="14"/>
      <c r="JP73" s="14"/>
      <c r="JQ73" s="14"/>
      <c r="JR73" s="14"/>
      <c r="JS73" s="14"/>
      <c r="JT73" s="14"/>
      <c r="JU73" s="14"/>
      <c r="JV73" s="14"/>
      <c r="JW73" s="14"/>
      <c r="JX73" s="14"/>
      <c r="JY73" s="14"/>
      <c r="JZ73" s="14"/>
      <c r="KA73" s="14"/>
      <c r="KB73" s="14"/>
      <c r="KC73" s="14"/>
      <c r="KD73" s="14"/>
      <c r="KE73" s="14"/>
      <c r="KF73" s="14"/>
      <c r="KG73" s="14"/>
      <c r="KH73" s="14"/>
      <c r="KI73" s="14"/>
      <c r="KJ73" s="14"/>
      <c r="KK73" s="14"/>
      <c r="KL73" s="14"/>
      <c r="KM73" s="14"/>
      <c r="KN73" s="14"/>
      <c r="KO73" s="14"/>
      <c r="KP73" s="14"/>
      <c r="KQ73" s="14"/>
      <c r="KR73" s="14"/>
      <c r="KS73" s="14"/>
      <c r="KT73" s="14"/>
      <c r="KU73" s="14"/>
      <c r="KV73" s="14"/>
      <c r="KW73" s="14"/>
      <c r="KX73" s="14"/>
      <c r="KY73" s="14"/>
      <c r="KZ73" s="14"/>
      <c r="LA73" s="14"/>
      <c r="LB73" s="14"/>
      <c r="LC73" s="14"/>
      <c r="LD73" s="14"/>
      <c r="LE73" s="14"/>
      <c r="LF73" s="14"/>
      <c r="LG73" s="14"/>
      <c r="LH73" s="14"/>
      <c r="LI73" s="14"/>
      <c r="LJ73" s="14"/>
      <c r="LK73" s="14"/>
      <c r="LL73" s="14"/>
      <c r="LM73" s="14"/>
      <c r="LN73" s="22">
        <f t="shared" si="15"/>
        <v>0</v>
      </c>
      <c r="LO73" s="6" t="e">
        <f t="shared" si="16"/>
        <v>#DIV/0!</v>
      </c>
      <c r="LP73" s="21" t="e">
        <f t="shared" si="17"/>
        <v>#DIV/0!</v>
      </c>
      <c r="LQ73" s="7" t="e">
        <f t="shared" si="18"/>
        <v>#DIV/0!</v>
      </c>
      <c r="LR73" s="7" t="e">
        <f t="shared" si="19"/>
        <v>#DIV/0!</v>
      </c>
      <c r="LS73" s="7" t="e">
        <f t="shared" si="20"/>
        <v>#DIV/0!</v>
      </c>
      <c r="LT73" s="7" t="e">
        <f>MIN(LR73:LS73)</f>
        <v>#DIV/0!</v>
      </c>
    </row>
    <row r="74" spans="1:332">
      <c r="A74" s="21" t="s">
        <v>79</v>
      </c>
      <c r="B74" s="21" t="s">
        <v>85</v>
      </c>
      <c r="C74" s="21" t="s">
        <v>86</v>
      </c>
      <c r="D74" s="21" t="s">
        <v>34</v>
      </c>
      <c r="E74" s="5">
        <v>132.626</v>
      </c>
      <c r="F74" s="5">
        <v>132.55000000000001</v>
      </c>
      <c r="G74" s="5">
        <f t="shared" si="0"/>
        <v>132.58800000000002</v>
      </c>
      <c r="H74" s="7"/>
      <c r="I74" s="7"/>
      <c r="J74" s="7"/>
      <c r="K74" s="7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>
        <v>132.589</v>
      </c>
      <c r="AG74" s="5">
        <v>132.59399999999999</v>
      </c>
      <c r="AH74" s="5">
        <v>132.59700000000001</v>
      </c>
      <c r="AI74" s="5">
        <v>132.60499999999999</v>
      </c>
      <c r="AJ74" s="5">
        <v>132.59800000000001</v>
      </c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>
        <v>132.56800000000001</v>
      </c>
      <c r="BZ74" s="5">
        <v>132.566</v>
      </c>
      <c r="CA74" s="5">
        <v>132.571</v>
      </c>
      <c r="CB74" s="5">
        <v>132.57</v>
      </c>
      <c r="CC74" s="5">
        <v>132.572</v>
      </c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13"/>
      <c r="HR74" s="14"/>
      <c r="HS74" s="14"/>
      <c r="HT74" s="14"/>
      <c r="HU74" s="14"/>
      <c r="HV74" s="14"/>
      <c r="HW74" s="14"/>
      <c r="HX74" s="14"/>
      <c r="HY74" s="14"/>
      <c r="HZ74" s="14"/>
      <c r="IA74" s="14"/>
      <c r="IB74" s="11"/>
      <c r="IC74" s="11"/>
      <c r="ID74" s="11"/>
      <c r="IE74" s="11"/>
      <c r="IF74" s="11"/>
      <c r="IG74" s="11"/>
      <c r="IH74" s="11"/>
      <c r="II74" s="11"/>
      <c r="IJ74" s="11"/>
      <c r="IK74" s="11"/>
      <c r="IL74" s="14"/>
      <c r="IM74" s="14"/>
      <c r="IN74" s="14"/>
      <c r="IO74" s="14"/>
      <c r="IP74" s="14"/>
      <c r="IQ74" s="14"/>
      <c r="IR74" s="14"/>
      <c r="IS74" s="14"/>
      <c r="IT74" s="14"/>
      <c r="IU74" s="14"/>
      <c r="IV74" s="14"/>
      <c r="IW74" s="14"/>
      <c r="IX74" s="14"/>
      <c r="IY74" s="14"/>
      <c r="IZ74" s="14"/>
      <c r="JA74" s="14"/>
      <c r="JB74" s="14"/>
      <c r="JC74" s="14"/>
      <c r="JD74" s="14"/>
      <c r="JE74" s="14"/>
      <c r="JF74" s="14"/>
      <c r="JG74" s="14"/>
      <c r="JH74" s="14"/>
      <c r="JI74" s="14"/>
      <c r="JJ74" s="14"/>
      <c r="JK74" s="14"/>
      <c r="JL74" s="14"/>
      <c r="JM74" s="14"/>
      <c r="JN74" s="14"/>
      <c r="JO74" s="14"/>
      <c r="JP74" s="14"/>
      <c r="JQ74" s="14"/>
      <c r="JR74" s="14"/>
      <c r="JS74" s="14"/>
      <c r="JT74" s="14"/>
      <c r="JU74" s="14"/>
      <c r="JV74" s="14"/>
      <c r="JW74" s="14"/>
      <c r="JX74" s="14"/>
      <c r="JY74" s="14"/>
      <c r="JZ74" s="14"/>
      <c r="KA74" s="14"/>
      <c r="KB74" s="14"/>
      <c r="KC74" s="14"/>
      <c r="KD74" s="14"/>
      <c r="KE74" s="14"/>
      <c r="KF74" s="14"/>
      <c r="KG74" s="14"/>
      <c r="KH74" s="14"/>
      <c r="KI74" s="14"/>
      <c r="KJ74" s="14"/>
      <c r="KK74" s="14"/>
      <c r="KL74" s="14"/>
      <c r="KM74" s="14"/>
      <c r="KN74" s="14"/>
      <c r="KO74" s="14"/>
      <c r="KP74" s="14"/>
      <c r="KQ74" s="14"/>
      <c r="KR74" s="14"/>
      <c r="KS74" s="14"/>
      <c r="KT74" s="14"/>
      <c r="KU74" s="14"/>
      <c r="KV74" s="14"/>
      <c r="KW74" s="14"/>
      <c r="KX74" s="14"/>
      <c r="KY74" s="14"/>
      <c r="KZ74" s="14"/>
      <c r="LA74" s="14"/>
      <c r="LB74" s="14"/>
      <c r="LC74" s="14"/>
      <c r="LD74" s="14"/>
      <c r="LE74" s="14"/>
      <c r="LF74" s="14"/>
      <c r="LG74" s="14"/>
      <c r="LH74" s="14"/>
      <c r="LI74" s="14"/>
      <c r="LJ74" s="14"/>
      <c r="LK74" s="14"/>
      <c r="LL74" s="14"/>
      <c r="LM74" s="14"/>
      <c r="LN74" s="22">
        <f t="shared" si="15"/>
        <v>0</v>
      </c>
      <c r="LO74" s="6" t="e">
        <f t="shared" si="16"/>
        <v>#DIV/0!</v>
      </c>
      <c r="LP74" s="21" t="e">
        <f t="shared" si="17"/>
        <v>#DIV/0!</v>
      </c>
      <c r="LQ74" s="7" t="e">
        <f t="shared" si="18"/>
        <v>#DIV/0!</v>
      </c>
      <c r="LR74" s="7" t="e">
        <f t="shared" si="19"/>
        <v>#DIV/0!</v>
      </c>
      <c r="LS74" s="7" t="e">
        <f t="shared" si="20"/>
        <v>#DIV/0!</v>
      </c>
      <c r="LT74" s="7" t="e">
        <f>MIN(LR74:LS74)</f>
        <v>#DIV/0!</v>
      </c>
    </row>
    <row r="75" spans="1:332">
      <c r="A75" s="21" t="s">
        <v>79</v>
      </c>
      <c r="B75" s="21" t="s">
        <v>85</v>
      </c>
      <c r="C75" s="21" t="s">
        <v>86</v>
      </c>
      <c r="D75" s="21" t="s">
        <v>87</v>
      </c>
      <c r="E75" s="5">
        <v>31.6</v>
      </c>
      <c r="F75" s="5">
        <v>31.55</v>
      </c>
      <c r="G75" s="5">
        <f t="shared" si="0"/>
        <v>31.575000000000003</v>
      </c>
      <c r="H75" s="7"/>
      <c r="I75" s="7"/>
      <c r="J75" s="7"/>
      <c r="K75" s="7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13"/>
      <c r="HR75" s="14"/>
      <c r="HS75" s="14"/>
      <c r="HT75" s="14"/>
      <c r="HU75" s="14"/>
      <c r="HV75" s="14"/>
      <c r="HW75" s="14"/>
      <c r="HX75" s="14"/>
      <c r="HY75" s="14"/>
      <c r="HZ75" s="14"/>
      <c r="IA75" s="14"/>
      <c r="IB75" s="11"/>
      <c r="IC75" s="11"/>
      <c r="ID75" s="11"/>
      <c r="IE75" s="11"/>
      <c r="IF75" s="11"/>
      <c r="IG75" s="11"/>
      <c r="IH75" s="11"/>
      <c r="II75" s="11"/>
      <c r="IJ75" s="11"/>
      <c r="IK75" s="11"/>
      <c r="IL75" s="14"/>
      <c r="IM75" s="14"/>
      <c r="IN75" s="14"/>
      <c r="IO75" s="14"/>
      <c r="IP75" s="14"/>
      <c r="IQ75" s="14"/>
      <c r="IR75" s="14"/>
      <c r="IS75" s="14"/>
      <c r="IT75" s="14"/>
      <c r="IU75" s="14"/>
      <c r="IV75" s="14"/>
      <c r="IW75" s="14"/>
      <c r="IX75" s="14"/>
      <c r="IY75" s="14"/>
      <c r="IZ75" s="14"/>
      <c r="JA75" s="14"/>
      <c r="JB75" s="14"/>
      <c r="JC75" s="14"/>
      <c r="JD75" s="14"/>
      <c r="JE75" s="14"/>
      <c r="JF75" s="14"/>
      <c r="JG75" s="14"/>
      <c r="JH75" s="14"/>
      <c r="JI75" s="14"/>
      <c r="JJ75" s="14"/>
      <c r="JK75" s="14"/>
      <c r="JL75" s="14"/>
      <c r="JM75" s="14"/>
      <c r="JN75" s="14"/>
      <c r="JO75" s="14"/>
      <c r="JP75" s="14"/>
      <c r="JQ75" s="14"/>
      <c r="JR75" s="14"/>
      <c r="JS75" s="14"/>
      <c r="JT75" s="14"/>
      <c r="JU75" s="14"/>
      <c r="JV75" s="14"/>
      <c r="JW75" s="14"/>
      <c r="JX75" s="14"/>
      <c r="JY75" s="14"/>
      <c r="JZ75" s="14"/>
      <c r="KA75" s="14"/>
      <c r="KB75" s="14"/>
      <c r="KC75" s="14"/>
      <c r="KD75" s="14"/>
      <c r="KE75" s="14"/>
      <c r="KF75" s="14"/>
      <c r="KG75" s="14"/>
      <c r="KH75" s="14"/>
      <c r="KI75" s="14"/>
      <c r="KJ75" s="14"/>
      <c r="KK75" s="14"/>
      <c r="KL75" s="14"/>
      <c r="KM75" s="14"/>
      <c r="KN75" s="14"/>
      <c r="KO75" s="14"/>
      <c r="KP75" s="14"/>
      <c r="KQ75" s="14"/>
      <c r="KR75" s="14"/>
      <c r="KS75" s="14"/>
      <c r="KT75" s="14"/>
      <c r="KU75" s="14"/>
      <c r="KV75" s="14"/>
      <c r="KW75" s="14"/>
      <c r="KX75" s="14"/>
      <c r="KY75" s="14"/>
      <c r="KZ75" s="14"/>
      <c r="LA75" s="14"/>
      <c r="LB75" s="14"/>
      <c r="LC75" s="14"/>
      <c r="LD75" s="14"/>
      <c r="LE75" s="14"/>
      <c r="LF75" s="14"/>
      <c r="LG75" s="14"/>
      <c r="LH75" s="14"/>
      <c r="LI75" s="14"/>
      <c r="LJ75" s="14"/>
      <c r="LK75" s="14"/>
      <c r="LL75" s="14"/>
      <c r="LM75" s="14"/>
      <c r="LN75" s="22">
        <f t="shared" si="15"/>
        <v>0</v>
      </c>
      <c r="LO75" s="6" t="e">
        <f t="shared" si="16"/>
        <v>#DIV/0!</v>
      </c>
      <c r="LP75" s="21" t="e">
        <f t="shared" si="17"/>
        <v>#DIV/0!</v>
      </c>
      <c r="LQ75" s="7" t="e">
        <f t="shared" si="18"/>
        <v>#DIV/0!</v>
      </c>
      <c r="LR75" s="7" t="e">
        <f t="shared" si="19"/>
        <v>#DIV/0!</v>
      </c>
      <c r="LS75" s="7" t="e">
        <f t="shared" si="20"/>
        <v>#DIV/0!</v>
      </c>
      <c r="LT75" s="7" t="e">
        <f t="shared" si="7"/>
        <v>#DIV/0!</v>
      </c>
    </row>
    <row r="76" spans="1:332">
      <c r="A76" s="21" t="s">
        <v>79</v>
      </c>
      <c r="B76" s="21" t="s">
        <v>85</v>
      </c>
      <c r="C76" s="21" t="s">
        <v>88</v>
      </c>
      <c r="D76" s="21" t="s">
        <v>33</v>
      </c>
      <c r="E76" s="5">
        <v>101.714</v>
      </c>
      <c r="F76" s="5">
        <v>101.63800000000001</v>
      </c>
      <c r="G76" s="5">
        <f t="shared" si="0"/>
        <v>101.676</v>
      </c>
      <c r="H76" s="7"/>
      <c r="I76" s="7"/>
      <c r="J76" s="7"/>
      <c r="K76" s="7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13"/>
      <c r="HR76" s="14"/>
      <c r="HS76" s="14"/>
      <c r="HT76" s="14"/>
      <c r="HU76" s="14"/>
      <c r="HV76" s="14"/>
      <c r="HW76" s="14"/>
      <c r="HX76" s="14"/>
      <c r="HY76" s="14"/>
      <c r="HZ76" s="14"/>
      <c r="IA76" s="14"/>
      <c r="IB76" s="11"/>
      <c r="IC76" s="11"/>
      <c r="ID76" s="11"/>
      <c r="IE76" s="11"/>
      <c r="IF76" s="11"/>
      <c r="IG76" s="11"/>
      <c r="IH76" s="11"/>
      <c r="II76" s="11"/>
      <c r="IJ76" s="11"/>
      <c r="IK76" s="11"/>
      <c r="IL76" s="14"/>
      <c r="IM76" s="14"/>
      <c r="IN76" s="14"/>
      <c r="IO76" s="14"/>
      <c r="IP76" s="14"/>
      <c r="IQ76" s="14"/>
      <c r="IR76" s="14"/>
      <c r="IS76" s="14"/>
      <c r="IT76" s="14"/>
      <c r="IU76" s="14"/>
      <c r="IV76" s="14"/>
      <c r="IW76" s="14"/>
      <c r="IX76" s="14"/>
      <c r="IY76" s="14"/>
      <c r="IZ76" s="14"/>
      <c r="JA76" s="14"/>
      <c r="JB76" s="14"/>
      <c r="JC76" s="14"/>
      <c r="JD76" s="14"/>
      <c r="JE76" s="14"/>
      <c r="JF76" s="14"/>
      <c r="JG76" s="14"/>
      <c r="JH76" s="14"/>
      <c r="JI76" s="14"/>
      <c r="JJ76" s="14"/>
      <c r="JK76" s="14"/>
      <c r="JL76" s="14"/>
      <c r="JM76" s="14"/>
      <c r="JN76" s="14"/>
      <c r="JO76" s="14"/>
      <c r="JP76" s="14"/>
      <c r="JQ76" s="14"/>
      <c r="JR76" s="14"/>
      <c r="JS76" s="14"/>
      <c r="JT76" s="14"/>
      <c r="JU76" s="14"/>
      <c r="JV76" s="14"/>
      <c r="JW76" s="14"/>
      <c r="JX76" s="14"/>
      <c r="JY76" s="14"/>
      <c r="JZ76" s="14"/>
      <c r="KA76" s="14"/>
      <c r="KB76" s="14"/>
      <c r="KC76" s="14"/>
      <c r="KD76" s="14"/>
      <c r="KE76" s="14"/>
      <c r="KF76" s="14"/>
      <c r="KG76" s="14"/>
      <c r="KH76" s="14"/>
      <c r="KI76" s="14"/>
      <c r="KJ76" s="14"/>
      <c r="KK76" s="14"/>
      <c r="KL76" s="14"/>
      <c r="KM76" s="14"/>
      <c r="KN76" s="14"/>
      <c r="KO76" s="14"/>
      <c r="KP76" s="14"/>
      <c r="KQ76" s="14"/>
      <c r="KR76" s="14"/>
      <c r="KS76" s="14"/>
      <c r="KT76" s="14"/>
      <c r="KU76" s="14"/>
      <c r="KV76" s="14"/>
      <c r="KW76" s="14"/>
      <c r="KX76" s="14"/>
      <c r="KY76" s="14"/>
      <c r="KZ76" s="14"/>
      <c r="LA76" s="14"/>
      <c r="LB76" s="14"/>
      <c r="LC76" s="14"/>
      <c r="LD76" s="14"/>
      <c r="LE76" s="14"/>
      <c r="LF76" s="14"/>
      <c r="LG76" s="14"/>
      <c r="LH76" s="14"/>
      <c r="LI76" s="14"/>
      <c r="LJ76" s="14"/>
      <c r="LK76" s="14"/>
      <c r="LL76" s="14"/>
      <c r="LM76" s="14"/>
      <c r="LN76" s="22">
        <f t="shared" si="15"/>
        <v>0</v>
      </c>
      <c r="LO76" s="6" t="e">
        <f t="shared" si="16"/>
        <v>#DIV/0!</v>
      </c>
      <c r="LP76" s="21" t="e">
        <f t="shared" si="17"/>
        <v>#DIV/0!</v>
      </c>
      <c r="LQ76" s="7" t="e">
        <f t="shared" si="18"/>
        <v>#DIV/0!</v>
      </c>
      <c r="LR76" s="7" t="e">
        <f t="shared" si="19"/>
        <v>#DIV/0!</v>
      </c>
      <c r="LS76" s="7" t="e">
        <f t="shared" si="20"/>
        <v>#DIV/0!</v>
      </c>
      <c r="LT76" s="7" t="e">
        <f t="shared" si="7"/>
        <v>#DIV/0!</v>
      </c>
    </row>
    <row r="77" spans="1:332">
      <c r="A77" s="21" t="s">
        <v>30</v>
      </c>
      <c r="B77" s="21" t="s">
        <v>89</v>
      </c>
      <c r="C77" s="21" t="s">
        <v>90</v>
      </c>
      <c r="D77" s="21" t="s">
        <v>34</v>
      </c>
      <c r="E77" s="20">
        <v>82.855000000000004</v>
      </c>
      <c r="F77" s="5">
        <v>82.82</v>
      </c>
      <c r="G77" s="5">
        <f t="shared" si="0"/>
        <v>82.837500000000006</v>
      </c>
      <c r="H77" s="7"/>
      <c r="I77" s="7"/>
      <c r="J77" s="7"/>
      <c r="K77" s="7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13"/>
      <c r="HR77" s="14"/>
      <c r="HS77" s="14"/>
      <c r="HT77" s="14"/>
      <c r="HU77" s="14"/>
      <c r="HV77" s="14"/>
      <c r="HW77" s="14"/>
      <c r="HX77" s="14"/>
      <c r="HY77" s="14"/>
      <c r="HZ77" s="14"/>
      <c r="IA77" s="14"/>
      <c r="IB77" s="11"/>
      <c r="IC77" s="11"/>
      <c r="ID77" s="11"/>
      <c r="IE77" s="11"/>
      <c r="IF77" s="11"/>
      <c r="IG77" s="11"/>
      <c r="IH77" s="11"/>
      <c r="II77" s="11"/>
      <c r="IJ77" s="11"/>
      <c r="IK77" s="11"/>
      <c r="IL77" s="14"/>
      <c r="IM77" s="14"/>
      <c r="IN77" s="14"/>
      <c r="IO77" s="14"/>
      <c r="IP77" s="14"/>
      <c r="IQ77" s="14"/>
      <c r="IR77" s="14"/>
      <c r="IS77" s="14"/>
      <c r="IT77" s="14"/>
      <c r="IU77" s="14"/>
      <c r="IV77" s="14"/>
      <c r="IW77" s="14"/>
      <c r="IX77" s="14"/>
      <c r="IY77" s="14"/>
      <c r="IZ77" s="14"/>
      <c r="JA77" s="14"/>
      <c r="JB77" s="14"/>
      <c r="JC77" s="14"/>
      <c r="JD77" s="14"/>
      <c r="JE77" s="14"/>
      <c r="JF77" s="14"/>
      <c r="JG77" s="14"/>
      <c r="JH77" s="14"/>
      <c r="JI77" s="14"/>
      <c r="JJ77" s="14"/>
      <c r="JK77" s="14"/>
      <c r="JL77" s="14"/>
      <c r="JM77" s="14"/>
      <c r="JN77" s="14"/>
      <c r="JO77" s="14"/>
      <c r="JP77" s="14"/>
      <c r="JQ77" s="14"/>
      <c r="JR77" s="14"/>
      <c r="JS77" s="14"/>
      <c r="JT77" s="14"/>
      <c r="JU77" s="14"/>
      <c r="JV77" s="14"/>
      <c r="JW77" s="14"/>
      <c r="JX77" s="14"/>
      <c r="JY77" s="14"/>
      <c r="JZ77" s="14"/>
      <c r="KA77" s="14"/>
      <c r="KB77" s="14"/>
      <c r="KC77" s="14"/>
      <c r="KD77" s="14"/>
      <c r="KE77" s="14"/>
      <c r="KF77" s="14"/>
      <c r="KG77" s="14"/>
      <c r="KH77" s="14"/>
      <c r="KI77" s="14"/>
      <c r="KJ77" s="14"/>
      <c r="KK77" s="14"/>
      <c r="KL77" s="14"/>
      <c r="KM77" s="14"/>
      <c r="KN77" s="14"/>
      <c r="KO77" s="14"/>
      <c r="KP77" s="14"/>
      <c r="KQ77" s="14"/>
      <c r="KR77" s="14"/>
      <c r="KS77" s="14"/>
      <c r="KT77" s="14"/>
      <c r="KU77" s="14"/>
      <c r="KV77" s="14"/>
      <c r="KW77" s="14"/>
      <c r="KX77" s="14"/>
      <c r="KY77" s="14"/>
      <c r="KZ77" s="14"/>
      <c r="LA77" s="14"/>
      <c r="LB77" s="14"/>
      <c r="LC77" s="14"/>
      <c r="LD77" s="14"/>
      <c r="LE77" s="14"/>
      <c r="LF77" s="14"/>
      <c r="LG77" s="14"/>
      <c r="LH77" s="14"/>
      <c r="LI77" s="14"/>
      <c r="LJ77" s="14"/>
      <c r="LK77" s="14"/>
      <c r="LL77" s="14"/>
      <c r="LM77" s="14"/>
      <c r="LN77" s="22">
        <f t="shared" si="15"/>
        <v>5</v>
      </c>
      <c r="LO77" s="6">
        <f t="shared" si="16"/>
        <v>27.984400000000001</v>
      </c>
      <c r="LP77" s="21">
        <f t="shared" si="17"/>
        <v>2.8875595231960788E-2</v>
      </c>
      <c r="LQ77" s="7">
        <f t="shared" si="18"/>
        <v>0.57718867897897042</v>
      </c>
      <c r="LR77" s="7">
        <f t="shared" si="19"/>
        <v>0.75727154682039699</v>
      </c>
      <c r="LS77" s="7">
        <f t="shared" si="20"/>
        <v>0.39710581113754378</v>
      </c>
      <c r="LT77" s="7">
        <f t="shared" si="7"/>
        <v>0.39710581113754378</v>
      </c>
    </row>
    <row r="78" spans="1:332">
      <c r="A78" s="21" t="s">
        <v>30</v>
      </c>
      <c r="B78" s="21" t="s">
        <v>89</v>
      </c>
      <c r="C78" s="21" t="s">
        <v>90</v>
      </c>
      <c r="D78" s="21" t="s">
        <v>65</v>
      </c>
      <c r="E78" s="20">
        <v>10.015000000000001</v>
      </c>
      <c r="F78" s="5">
        <v>10</v>
      </c>
      <c r="G78" s="5">
        <f t="shared" si="0"/>
        <v>10.0075</v>
      </c>
      <c r="H78" s="7"/>
      <c r="I78" s="7"/>
      <c r="J78" s="7"/>
      <c r="K78" s="7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13"/>
      <c r="HR78" s="14"/>
      <c r="HS78" s="14"/>
      <c r="HT78" s="14"/>
      <c r="HU78" s="14"/>
      <c r="HV78" s="14"/>
      <c r="HW78" s="14"/>
      <c r="HX78" s="14"/>
      <c r="HY78" s="14"/>
      <c r="HZ78" s="14"/>
      <c r="IA78" s="14"/>
      <c r="IB78" s="11"/>
      <c r="IC78" s="11"/>
      <c r="ID78" s="11"/>
      <c r="IE78" s="11"/>
      <c r="IF78" s="11"/>
      <c r="IG78" s="11"/>
      <c r="IH78" s="11"/>
      <c r="II78" s="11"/>
      <c r="IJ78" s="11"/>
      <c r="IK78" s="11"/>
      <c r="IL78" s="14"/>
      <c r="IM78" s="14"/>
      <c r="IN78" s="14"/>
      <c r="IO78" s="14"/>
      <c r="IP78" s="14"/>
      <c r="IQ78" s="14"/>
      <c r="IR78" s="14"/>
      <c r="IS78" s="14"/>
      <c r="IT78" s="14"/>
      <c r="IU78" s="14"/>
      <c r="IV78" s="14"/>
      <c r="IW78" s="14"/>
      <c r="IX78" s="14"/>
      <c r="IY78" s="14"/>
      <c r="IZ78" s="14"/>
      <c r="JA78" s="14"/>
      <c r="JB78" s="14"/>
      <c r="JC78" s="14"/>
      <c r="JD78" s="14"/>
      <c r="JE78" s="14"/>
      <c r="JF78" s="14"/>
      <c r="JG78" s="14"/>
      <c r="JH78" s="14"/>
      <c r="JI78" s="14"/>
      <c r="JJ78" s="14"/>
      <c r="JK78" s="14"/>
      <c r="JL78" s="14"/>
      <c r="JM78" s="14"/>
      <c r="JN78" s="14"/>
      <c r="JO78" s="14"/>
      <c r="JP78" s="14"/>
      <c r="JQ78" s="14"/>
      <c r="JR78" s="14"/>
      <c r="JS78" s="14"/>
      <c r="JT78" s="14"/>
      <c r="JU78" s="14"/>
      <c r="JV78" s="14"/>
      <c r="JW78" s="14"/>
      <c r="JX78" s="14"/>
      <c r="JY78" s="14"/>
      <c r="JZ78" s="14"/>
      <c r="KA78" s="14"/>
      <c r="KB78" s="14"/>
      <c r="KC78" s="14"/>
      <c r="KD78" s="14"/>
      <c r="KE78" s="14"/>
      <c r="KF78" s="14"/>
      <c r="KG78" s="14"/>
      <c r="KH78" s="14"/>
      <c r="KI78" s="14"/>
      <c r="KJ78" s="14"/>
      <c r="KK78" s="14"/>
      <c r="KL78" s="14"/>
      <c r="KM78" s="14"/>
      <c r="KN78" s="14"/>
      <c r="KO78" s="14"/>
      <c r="KP78" s="14"/>
      <c r="KQ78" s="14"/>
      <c r="KR78" s="14"/>
      <c r="KS78" s="14"/>
      <c r="KT78" s="14"/>
      <c r="KU78" s="14"/>
      <c r="KV78" s="14"/>
      <c r="KW78" s="14"/>
      <c r="KX78" s="14"/>
      <c r="KY78" s="14"/>
      <c r="KZ78" s="14"/>
      <c r="LA78" s="14"/>
      <c r="LB78" s="14"/>
      <c r="LC78" s="14"/>
      <c r="LD78" s="14"/>
      <c r="LE78" s="14"/>
      <c r="LF78" s="14"/>
      <c r="LG78" s="14"/>
      <c r="LH78" s="14"/>
      <c r="LI78" s="14"/>
      <c r="LJ78" s="14"/>
      <c r="LK78" s="14"/>
      <c r="LL78" s="14"/>
      <c r="LM78" s="14"/>
      <c r="LN78" s="22">
        <f t="shared" si="15"/>
        <v>5</v>
      </c>
      <c r="LO78" s="6">
        <f t="shared" si="16"/>
        <v>19.9482</v>
      </c>
      <c r="LP78" s="21">
        <f t="shared" si="17"/>
        <v>2.0493901531909572E-3</v>
      </c>
      <c r="LQ78" s="7">
        <f t="shared" si="18"/>
        <v>1.6265001215816177</v>
      </c>
      <c r="LR78" s="7">
        <f t="shared" si="19"/>
        <v>2.7325202042571641</v>
      </c>
      <c r="LS78" s="7">
        <f t="shared" si="20"/>
        <v>0.52048003890607153</v>
      </c>
      <c r="LT78" s="7">
        <f t="shared" si="7"/>
        <v>0.52048003890607153</v>
      </c>
    </row>
    <row r="79" spans="1:332">
      <c r="A79" s="21" t="s">
        <v>30</v>
      </c>
      <c r="B79" s="21" t="s">
        <v>89</v>
      </c>
      <c r="C79" s="21" t="s">
        <v>91</v>
      </c>
      <c r="D79" s="21" t="s">
        <v>39</v>
      </c>
      <c r="E79" s="5">
        <v>28.05</v>
      </c>
      <c r="F79" s="5">
        <v>27.95</v>
      </c>
      <c r="G79" s="5">
        <f t="shared" si="0"/>
        <v>28</v>
      </c>
      <c r="H79" s="7"/>
      <c r="I79" s="7"/>
      <c r="J79" s="7"/>
      <c r="K79" s="7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>
        <v>27.954999999999998</v>
      </c>
      <c r="AQ79" s="5">
        <v>27.951000000000001</v>
      </c>
      <c r="AR79" s="5">
        <v>28.001000000000001</v>
      </c>
      <c r="AS79" s="5">
        <v>28.004999999999999</v>
      </c>
      <c r="AT79" s="5">
        <v>28.01</v>
      </c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13"/>
      <c r="HR79" s="14"/>
      <c r="HS79" s="14"/>
      <c r="HT79" s="14"/>
      <c r="HU79" s="14"/>
      <c r="HV79" s="14"/>
      <c r="HW79" s="14"/>
      <c r="HX79" s="14"/>
      <c r="HY79" s="14"/>
      <c r="HZ79" s="14"/>
      <c r="IA79" s="14"/>
      <c r="IB79" s="11"/>
      <c r="IC79" s="11"/>
      <c r="ID79" s="11"/>
      <c r="IE79" s="11"/>
      <c r="IF79" s="11"/>
      <c r="IG79" s="11"/>
      <c r="IH79" s="11"/>
      <c r="II79" s="11"/>
      <c r="IJ79" s="11"/>
      <c r="IK79" s="11"/>
      <c r="IL79" s="14"/>
      <c r="IM79" s="14"/>
      <c r="IN79" s="14"/>
      <c r="IO79" s="14"/>
      <c r="IP79" s="14"/>
      <c r="IQ79" s="14"/>
      <c r="IR79" s="14"/>
      <c r="IS79" s="14"/>
      <c r="IT79" s="14"/>
      <c r="IU79" s="14"/>
      <c r="IV79" s="14"/>
      <c r="IW79" s="14"/>
      <c r="IX79" s="14"/>
      <c r="IY79" s="14"/>
      <c r="IZ79" s="14"/>
      <c r="JA79" s="14"/>
      <c r="JB79" s="14"/>
      <c r="JC79" s="14"/>
      <c r="JD79" s="14"/>
      <c r="JE79" s="14"/>
      <c r="JF79" s="14"/>
      <c r="JG79" s="14"/>
      <c r="JH79" s="14"/>
      <c r="JI79" s="14"/>
      <c r="JJ79" s="14"/>
      <c r="JK79" s="14"/>
      <c r="JL79" s="14"/>
      <c r="JM79" s="14"/>
      <c r="JN79" s="14"/>
      <c r="JO79" s="14"/>
      <c r="JP79" s="14"/>
      <c r="JQ79" s="14"/>
      <c r="JR79" s="14"/>
      <c r="JS79" s="14"/>
      <c r="JT79" s="14"/>
      <c r="JU79" s="14"/>
      <c r="JV79" s="14"/>
      <c r="JW79" s="14"/>
      <c r="JX79" s="14"/>
      <c r="JY79" s="14"/>
      <c r="JZ79" s="14"/>
      <c r="KA79" s="14"/>
      <c r="KB79" s="14"/>
      <c r="KC79" s="14"/>
      <c r="KD79" s="14"/>
      <c r="KE79" s="14"/>
      <c r="KF79" s="14"/>
      <c r="KG79" s="14"/>
      <c r="KH79" s="14"/>
      <c r="KI79" s="14"/>
      <c r="KJ79" s="14"/>
      <c r="KK79" s="14"/>
      <c r="KL79" s="14"/>
      <c r="KM79" s="14"/>
      <c r="KN79" s="14"/>
      <c r="KO79" s="14"/>
      <c r="KP79" s="14"/>
      <c r="KQ79" s="14"/>
      <c r="KR79" s="14"/>
      <c r="KS79" s="14"/>
      <c r="KT79" s="14"/>
      <c r="KU79" s="14"/>
      <c r="KV79" s="14"/>
      <c r="KW79" s="14"/>
      <c r="KX79" s="14"/>
      <c r="KY79" s="14"/>
      <c r="KZ79" s="14"/>
      <c r="LA79" s="14"/>
      <c r="LB79" s="14"/>
      <c r="LC79" s="14"/>
      <c r="LD79" s="14"/>
      <c r="LE79" s="14"/>
      <c r="LF79" s="14"/>
      <c r="LG79" s="14"/>
      <c r="LH79" s="14"/>
      <c r="LI79" s="14"/>
      <c r="LJ79" s="14"/>
      <c r="LK79" s="14"/>
      <c r="LL79" s="14"/>
      <c r="LM79" s="14"/>
      <c r="LN79" s="22">
        <f t="shared" si="15"/>
        <v>0</v>
      </c>
      <c r="LO79" s="6" t="e">
        <f t="shared" si="16"/>
        <v>#DIV/0!</v>
      </c>
      <c r="LP79" s="21" t="e">
        <f t="shared" si="17"/>
        <v>#DIV/0!</v>
      </c>
      <c r="LQ79" s="7" t="e">
        <f t="shared" si="18"/>
        <v>#DIV/0!</v>
      </c>
      <c r="LR79" s="7" t="e">
        <f t="shared" si="19"/>
        <v>#DIV/0!</v>
      </c>
      <c r="LS79" s="7" t="e">
        <f t="shared" si="20"/>
        <v>#DIV/0!</v>
      </c>
      <c r="LT79" s="7" t="e">
        <f t="shared" si="7"/>
        <v>#DIV/0!</v>
      </c>
    </row>
    <row r="80" spans="1:332">
      <c r="A80" s="21" t="s">
        <v>30</v>
      </c>
      <c r="B80" s="21" t="s">
        <v>89</v>
      </c>
      <c r="C80" s="21" t="s">
        <v>91</v>
      </c>
      <c r="D80" s="21" t="s">
        <v>33</v>
      </c>
      <c r="E80" s="20">
        <v>19.965</v>
      </c>
      <c r="F80" s="5">
        <v>19.945</v>
      </c>
      <c r="G80" s="5">
        <f t="shared" si="0"/>
        <v>19.954999999999998</v>
      </c>
      <c r="H80" s="7"/>
      <c r="I80" s="7"/>
      <c r="J80" s="7"/>
      <c r="K80" s="7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>
        <v>19.946000000000002</v>
      </c>
      <c r="AQ80" s="5">
        <v>19.95</v>
      </c>
      <c r="AR80" s="5">
        <v>19.949000000000002</v>
      </c>
      <c r="AS80" s="5">
        <v>19.95</v>
      </c>
      <c r="AT80" s="5">
        <v>19.946000000000002</v>
      </c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13"/>
      <c r="HR80" s="14"/>
      <c r="HS80" s="14"/>
      <c r="HT80" s="14"/>
      <c r="HU80" s="14"/>
      <c r="HV80" s="14"/>
      <c r="HW80" s="14"/>
      <c r="HX80" s="14"/>
      <c r="HY80" s="14"/>
      <c r="HZ80" s="14"/>
      <c r="IA80" s="14"/>
      <c r="IB80" s="11"/>
      <c r="IC80" s="11"/>
      <c r="ID80" s="11"/>
      <c r="IE80" s="11"/>
      <c r="IF80" s="11"/>
      <c r="IG80" s="11"/>
      <c r="IH80" s="11"/>
      <c r="II80" s="11"/>
      <c r="IJ80" s="11"/>
      <c r="IK80" s="11"/>
      <c r="IL80" s="14"/>
      <c r="IM80" s="14"/>
      <c r="IN80" s="14"/>
      <c r="IO80" s="14"/>
      <c r="IP80" s="14"/>
      <c r="IQ80" s="14"/>
      <c r="IR80" s="14"/>
      <c r="IS80" s="14"/>
      <c r="IT80" s="14"/>
      <c r="IU80" s="14"/>
      <c r="IV80" s="14"/>
      <c r="IW80" s="14"/>
      <c r="IX80" s="14"/>
      <c r="IY80" s="14"/>
      <c r="IZ80" s="14"/>
      <c r="JA80" s="14"/>
      <c r="JB80" s="14"/>
      <c r="JC80" s="14"/>
      <c r="JD80" s="14"/>
      <c r="JE80" s="14"/>
      <c r="JF80" s="14"/>
      <c r="JG80" s="14"/>
      <c r="JH80" s="14"/>
      <c r="JI80" s="14"/>
      <c r="JJ80" s="14"/>
      <c r="JK80" s="14"/>
      <c r="JL80" s="14"/>
      <c r="JM80" s="14"/>
      <c r="JN80" s="14"/>
      <c r="JO80" s="14"/>
      <c r="JP80" s="14"/>
      <c r="JQ80" s="14"/>
      <c r="JR80" s="14"/>
      <c r="JS80" s="14"/>
      <c r="JT80" s="14"/>
      <c r="JU80" s="14"/>
      <c r="JV80" s="14"/>
      <c r="JW80" s="14"/>
      <c r="JX80" s="14"/>
      <c r="JY80" s="14"/>
      <c r="JZ80" s="14"/>
      <c r="KA80" s="14"/>
      <c r="KB80" s="14"/>
      <c r="KC80" s="14"/>
      <c r="KD80" s="14"/>
      <c r="KE80" s="14"/>
      <c r="KF80" s="14"/>
      <c r="KG80" s="14"/>
      <c r="KH80" s="14"/>
      <c r="KI80" s="14"/>
      <c r="KJ80" s="14"/>
      <c r="KK80" s="14"/>
      <c r="KL80" s="14"/>
      <c r="KM80" s="14"/>
      <c r="KN80" s="14"/>
      <c r="KO80" s="14"/>
      <c r="KP80" s="14"/>
      <c r="KQ80" s="14"/>
      <c r="KR80" s="14"/>
      <c r="KS80" s="14"/>
      <c r="KT80" s="14"/>
      <c r="KU80" s="14"/>
      <c r="KV80" s="14"/>
      <c r="KW80" s="14"/>
      <c r="KX80" s="14"/>
      <c r="KY80" s="14"/>
      <c r="KZ80" s="14"/>
      <c r="LA80" s="14"/>
      <c r="LB80" s="14"/>
      <c r="LC80" s="14"/>
      <c r="LD80" s="14"/>
      <c r="LE80" s="14"/>
      <c r="LF80" s="14"/>
      <c r="LG80" s="14"/>
      <c r="LH80" s="14"/>
      <c r="LI80" s="14"/>
      <c r="LJ80" s="14"/>
      <c r="LK80" s="14"/>
      <c r="LL80" s="14"/>
      <c r="LM80" s="14"/>
      <c r="LN80" s="22">
        <f t="shared" si="15"/>
        <v>15</v>
      </c>
      <c r="LO80" s="6">
        <f t="shared" si="16"/>
        <v>17.359400000000004</v>
      </c>
      <c r="LP80" s="21">
        <f t="shared" si="17"/>
        <v>1.0555973258227177E-3</v>
      </c>
      <c r="LQ80" s="7">
        <f t="shared" si="18"/>
        <v>3.1577697781067315</v>
      </c>
      <c r="LR80" s="7">
        <f t="shared" si="19"/>
        <v>3.3472359647921373</v>
      </c>
      <c r="LS80" s="7">
        <f t="shared" si="20"/>
        <v>2.9683035914213263</v>
      </c>
      <c r="LT80" s="7">
        <f>MIN(LR80:LS80)</f>
        <v>2.9683035914213263</v>
      </c>
    </row>
    <row r="81" spans="1:332">
      <c r="A81" s="21" t="s">
        <v>30</v>
      </c>
      <c r="B81" s="21" t="s">
        <v>89</v>
      </c>
      <c r="C81" s="21" t="s">
        <v>70</v>
      </c>
      <c r="D81" s="21" t="s">
        <v>92</v>
      </c>
      <c r="E81" s="20">
        <v>31.475000000000001</v>
      </c>
      <c r="F81" s="20">
        <v>31.445</v>
      </c>
      <c r="G81" s="5">
        <f t="shared" si="0"/>
        <v>31.46</v>
      </c>
      <c r="H81" s="7"/>
      <c r="I81" s="7"/>
      <c r="J81" s="7"/>
      <c r="K81" s="7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13"/>
      <c r="HR81" s="14"/>
      <c r="HS81" s="14"/>
      <c r="HT81" s="14"/>
      <c r="HU81" s="14"/>
      <c r="HV81" s="14"/>
      <c r="HW81" s="14"/>
      <c r="HX81" s="14"/>
      <c r="HY81" s="14"/>
      <c r="HZ81" s="14"/>
      <c r="IA81" s="14"/>
      <c r="IB81" s="11"/>
      <c r="IC81" s="11"/>
      <c r="ID81" s="11"/>
      <c r="IE81" s="11"/>
      <c r="IF81" s="11"/>
      <c r="IG81" s="11"/>
      <c r="IH81" s="11"/>
      <c r="II81" s="11"/>
      <c r="IJ81" s="11"/>
      <c r="IK81" s="11"/>
      <c r="IL81" s="14"/>
      <c r="IM81" s="14"/>
      <c r="IN81" s="14"/>
      <c r="IO81" s="14"/>
      <c r="IP81" s="14"/>
      <c r="IQ81" s="14"/>
      <c r="IR81" s="14"/>
      <c r="IS81" s="14"/>
      <c r="IT81" s="14"/>
      <c r="IU81" s="14"/>
      <c r="IV81" s="14"/>
      <c r="IW81" s="14"/>
      <c r="IX81" s="14"/>
      <c r="IY81" s="14"/>
      <c r="IZ81" s="14"/>
      <c r="JA81" s="14"/>
      <c r="JB81" s="14"/>
      <c r="JC81" s="14"/>
      <c r="JD81" s="14"/>
      <c r="JE81" s="14"/>
      <c r="JF81" s="14"/>
      <c r="JG81" s="14"/>
      <c r="JH81" s="14"/>
      <c r="JI81" s="14"/>
      <c r="JJ81" s="14"/>
      <c r="JK81" s="14"/>
      <c r="JL81" s="14"/>
      <c r="JM81" s="14"/>
      <c r="JN81" s="14"/>
      <c r="JO81" s="14"/>
      <c r="JP81" s="14"/>
      <c r="JQ81" s="14"/>
      <c r="JR81" s="14"/>
      <c r="JS81" s="14"/>
      <c r="JT81" s="14"/>
      <c r="JU81" s="14"/>
      <c r="JV81" s="14"/>
      <c r="JW81" s="14"/>
      <c r="JX81" s="14"/>
      <c r="JY81" s="14"/>
      <c r="JZ81" s="14"/>
      <c r="KA81" s="14"/>
      <c r="KB81" s="14"/>
      <c r="KC81" s="14"/>
      <c r="KD81" s="14"/>
      <c r="KE81" s="14"/>
      <c r="KF81" s="14"/>
      <c r="KG81" s="14"/>
      <c r="KH81" s="14"/>
      <c r="KI81" s="14"/>
      <c r="KJ81" s="14"/>
      <c r="KK81" s="14"/>
      <c r="KL81" s="14"/>
      <c r="KM81" s="14"/>
      <c r="KN81" s="14"/>
      <c r="KO81" s="14"/>
      <c r="KP81" s="14"/>
      <c r="KQ81" s="14"/>
      <c r="KR81" s="14"/>
      <c r="KS81" s="14"/>
      <c r="KT81" s="14"/>
      <c r="KU81" s="14"/>
      <c r="KV81" s="14"/>
      <c r="KW81" s="14"/>
      <c r="KX81" s="14"/>
      <c r="KY81" s="14"/>
      <c r="KZ81" s="14"/>
      <c r="LA81" s="14"/>
      <c r="LB81" s="14"/>
      <c r="LC81" s="14"/>
      <c r="LD81" s="14"/>
      <c r="LE81" s="14"/>
      <c r="LF81" s="14"/>
      <c r="LG81" s="14"/>
      <c r="LH81" s="14"/>
      <c r="LI81" s="14"/>
      <c r="LJ81" s="14"/>
      <c r="LK81" s="14"/>
      <c r="LL81" s="14"/>
      <c r="LM81" s="14"/>
      <c r="LN81" s="22">
        <f t="shared" si="15"/>
        <v>5</v>
      </c>
      <c r="LO81" s="6">
        <f t="shared" si="16"/>
        <v>32.263999999999996</v>
      </c>
      <c r="LP81" s="21">
        <f t="shared" si="17"/>
        <v>3.5355339059325369E-3</v>
      </c>
      <c r="LQ81" s="7">
        <f t="shared" si="18"/>
        <v>2.3570226039551585</v>
      </c>
      <c r="LR81" s="7">
        <f t="shared" si="19"/>
        <v>3.3941125496957496</v>
      </c>
      <c r="LS81" s="7">
        <f t="shared" si="20"/>
        <v>1.3199326582145672</v>
      </c>
      <c r="LT81" s="7">
        <f>MIN(LR81:LS81)</f>
        <v>1.3199326582145672</v>
      </c>
    </row>
    <row r="82" spans="1:332">
      <c r="A82" s="21" t="s">
        <v>93</v>
      </c>
      <c r="B82" s="21" t="s">
        <v>94</v>
      </c>
      <c r="C82" s="21"/>
      <c r="D82" s="21" t="s">
        <v>95</v>
      </c>
      <c r="E82" s="5">
        <v>17.37</v>
      </c>
      <c r="F82" s="5">
        <v>17.350000000000001</v>
      </c>
      <c r="G82" s="5">
        <f t="shared" si="0"/>
        <v>17.36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>
        <v>17.359000000000002</v>
      </c>
      <c r="AL82" s="5">
        <v>17.358000000000001</v>
      </c>
      <c r="AM82" s="5">
        <v>17.359000000000002</v>
      </c>
      <c r="AN82" s="5">
        <v>17.358000000000001</v>
      </c>
      <c r="AO82" s="5">
        <v>17.359000000000002</v>
      </c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>
        <v>17.359000000000002</v>
      </c>
      <c r="BU82" s="5">
        <v>17.361999999999998</v>
      </c>
      <c r="BV82" s="5">
        <v>17.359000000000002</v>
      </c>
      <c r="BW82" s="5">
        <v>17.359000000000002</v>
      </c>
      <c r="BX82" s="5">
        <v>17.36</v>
      </c>
      <c r="BY82" s="5"/>
      <c r="BZ82" s="5"/>
      <c r="CA82" s="5"/>
      <c r="CB82" s="5"/>
      <c r="CC82" s="5"/>
      <c r="CD82" s="5">
        <v>17.359000000000002</v>
      </c>
      <c r="CE82" s="5">
        <v>17.359000000000002</v>
      </c>
      <c r="CF82" s="5">
        <v>17.36</v>
      </c>
      <c r="CG82" s="5">
        <v>17.361000000000001</v>
      </c>
      <c r="CH82" s="5">
        <v>17.36</v>
      </c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>
        <v>17.359000000000002</v>
      </c>
      <c r="CY82" s="5">
        <v>17.36</v>
      </c>
      <c r="CZ82" s="5">
        <v>17.363</v>
      </c>
      <c r="DA82" s="5">
        <v>17.356999999999999</v>
      </c>
      <c r="DB82" s="5">
        <v>17.355</v>
      </c>
      <c r="DC82" s="5">
        <v>17.359000000000002</v>
      </c>
      <c r="DD82" s="5">
        <v>17.359000000000002</v>
      </c>
      <c r="DE82" s="5">
        <v>17.36</v>
      </c>
      <c r="DF82" s="5">
        <v>17.359000000000002</v>
      </c>
      <c r="DG82" s="5">
        <v>17.359000000000002</v>
      </c>
      <c r="DH82" s="5">
        <v>17.36</v>
      </c>
      <c r="DI82" s="5">
        <v>17.358000000000001</v>
      </c>
      <c r="DJ82" s="5">
        <v>17.359000000000002</v>
      </c>
      <c r="DK82" s="5">
        <v>17.361000000000001</v>
      </c>
      <c r="DL82" s="5">
        <v>17.359000000000002</v>
      </c>
      <c r="DM82" s="5">
        <v>17.359000000000002</v>
      </c>
      <c r="DN82" s="5">
        <v>17.358000000000001</v>
      </c>
      <c r="DO82" s="5">
        <v>17.36</v>
      </c>
      <c r="DP82" s="5">
        <v>17.358000000000001</v>
      </c>
      <c r="DQ82" s="5">
        <v>17.359000000000002</v>
      </c>
      <c r="DR82" s="5">
        <v>17.358000000000001</v>
      </c>
      <c r="DS82" s="5">
        <v>17.361000000000001</v>
      </c>
      <c r="DT82" s="5">
        <v>17.359000000000002</v>
      </c>
      <c r="DU82" s="5">
        <v>17.359000000000002</v>
      </c>
      <c r="DV82" s="5">
        <v>17.359000000000002</v>
      </c>
      <c r="DW82" s="5">
        <v>17.359000000000002</v>
      </c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>
        <v>17.358000000000001</v>
      </c>
      <c r="HM82" s="5">
        <v>17.359000000000002</v>
      </c>
      <c r="HN82" s="5">
        <v>17.358000000000001</v>
      </c>
      <c r="HO82" s="5">
        <v>17.36</v>
      </c>
      <c r="HP82" s="5">
        <v>17.358000000000001</v>
      </c>
      <c r="HQ82" s="13">
        <v>17.358000000000001</v>
      </c>
      <c r="HR82" s="14">
        <v>17.359000000000002</v>
      </c>
      <c r="HS82" s="14">
        <v>17.36</v>
      </c>
      <c r="HT82" s="14">
        <v>17.358000000000001</v>
      </c>
      <c r="HU82" s="14"/>
      <c r="HV82" s="14"/>
      <c r="HW82" s="14"/>
      <c r="HX82" s="14"/>
      <c r="HY82" s="14"/>
      <c r="HZ82" s="14"/>
      <c r="IA82" s="14"/>
      <c r="IB82" s="11"/>
      <c r="IC82" s="11"/>
      <c r="ID82" s="11"/>
      <c r="IE82" s="11"/>
      <c r="IF82" s="11"/>
      <c r="IG82" s="11"/>
      <c r="IH82" s="11"/>
      <c r="II82" s="11"/>
      <c r="IJ82" s="11"/>
      <c r="IK82" s="11"/>
      <c r="IL82" s="14">
        <v>17.356000000000002</v>
      </c>
      <c r="IM82" s="14">
        <v>17.356999999999999</v>
      </c>
      <c r="IN82" s="14">
        <v>17.364999999999998</v>
      </c>
      <c r="IO82" s="14">
        <v>17.353999999999999</v>
      </c>
      <c r="IP82" s="14">
        <v>17.350999999999999</v>
      </c>
      <c r="IQ82" s="14"/>
      <c r="IR82" s="14"/>
      <c r="IS82" s="14"/>
      <c r="IT82" s="14"/>
      <c r="IU82" s="14"/>
      <c r="IV82" s="14">
        <v>17.358000000000001</v>
      </c>
      <c r="IW82" s="14">
        <v>17.356999999999999</v>
      </c>
      <c r="IX82" s="14">
        <v>174.358</v>
      </c>
      <c r="IY82" s="14">
        <v>17.359000000000002</v>
      </c>
      <c r="IZ82" s="14">
        <v>17.356999999999999</v>
      </c>
      <c r="JA82" s="14"/>
      <c r="JB82" s="14"/>
      <c r="JC82" s="14"/>
      <c r="JD82" s="14"/>
      <c r="JE82" s="14"/>
      <c r="JF82" s="14">
        <v>17.36</v>
      </c>
      <c r="JG82" s="14">
        <v>17.361000000000001</v>
      </c>
      <c r="JH82" s="14">
        <v>17.309000000000001</v>
      </c>
      <c r="JI82" s="14">
        <v>17.361000000000001</v>
      </c>
      <c r="JJ82" s="14">
        <v>17.361999999999998</v>
      </c>
      <c r="JK82" s="14">
        <v>17.358000000000001</v>
      </c>
      <c r="JL82" s="14">
        <v>17.361999999999998</v>
      </c>
      <c r="JM82" s="14">
        <v>17.36</v>
      </c>
      <c r="JN82" s="14">
        <v>17.361000000000001</v>
      </c>
      <c r="JO82" s="14">
        <v>17.359000000000002</v>
      </c>
      <c r="JP82" s="14"/>
      <c r="JQ82" s="14"/>
      <c r="JR82" s="14"/>
      <c r="JS82" s="14"/>
      <c r="JT82" s="14"/>
      <c r="JU82" s="14">
        <v>17.361000000000001</v>
      </c>
      <c r="JV82" s="14">
        <v>17.36</v>
      </c>
      <c r="JW82" s="14">
        <v>17.361999999999998</v>
      </c>
      <c r="JX82" s="14">
        <v>17.361000000000001</v>
      </c>
      <c r="JY82" s="14">
        <v>17.36</v>
      </c>
      <c r="JZ82" s="14">
        <v>17.361999999999998</v>
      </c>
      <c r="KA82" s="14">
        <v>17.361000000000001</v>
      </c>
      <c r="KB82" s="14">
        <v>17.363</v>
      </c>
      <c r="KC82" s="14">
        <v>17.36</v>
      </c>
      <c r="KD82" s="14">
        <v>17.361000000000001</v>
      </c>
      <c r="KE82" s="14"/>
      <c r="KF82" s="14"/>
      <c r="KG82" s="14"/>
      <c r="KH82" s="14"/>
      <c r="KI82" s="14"/>
      <c r="KJ82" s="14"/>
      <c r="KK82" s="14"/>
      <c r="KL82" s="14"/>
      <c r="KM82" s="14"/>
      <c r="KN82" s="14"/>
      <c r="KO82" s="14"/>
      <c r="KP82" s="14"/>
      <c r="KQ82" s="14"/>
      <c r="KR82" s="14"/>
      <c r="KS82" s="14"/>
      <c r="KT82" s="14"/>
      <c r="KU82" s="14"/>
      <c r="KV82" s="14"/>
      <c r="KW82" s="14"/>
      <c r="KX82" s="14"/>
      <c r="KY82" s="14"/>
      <c r="KZ82" s="14"/>
      <c r="LA82" s="14"/>
      <c r="LB82" s="14"/>
      <c r="LC82" s="14"/>
      <c r="LD82" s="14"/>
      <c r="LE82" s="14"/>
      <c r="LF82" s="14"/>
      <c r="LG82" s="14"/>
      <c r="LH82" s="14"/>
      <c r="LI82" s="14"/>
      <c r="LJ82" s="14"/>
      <c r="LK82" s="14"/>
      <c r="LL82" s="14"/>
      <c r="LM82" s="14"/>
    </row>
    <row r="83" spans="1:332">
      <c r="A83" s="21" t="s">
        <v>93</v>
      </c>
      <c r="B83" s="21" t="s">
        <v>96</v>
      </c>
      <c r="C83" s="21"/>
      <c r="D83" s="21" t="s">
        <v>92</v>
      </c>
      <c r="E83" s="5">
        <v>32.299999999999997</v>
      </c>
      <c r="F83" s="5">
        <v>32.25</v>
      </c>
      <c r="G83" s="5">
        <f t="shared" ref="G83" si="21">(E83+F83)/2</f>
        <v>32.274999999999999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>
        <v>32.259</v>
      </c>
      <c r="AL83" s="5">
        <v>32.262</v>
      </c>
      <c r="AM83" s="5">
        <v>32.265000000000001</v>
      </c>
      <c r="AN83" s="5">
        <v>32.268000000000001</v>
      </c>
      <c r="AO83" s="5">
        <v>32.265999999999998</v>
      </c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13"/>
      <c r="HR83" s="14"/>
      <c r="HS83" s="14"/>
      <c r="HT83" s="14"/>
      <c r="HU83" s="14"/>
      <c r="HV83" s="14"/>
      <c r="HW83" s="14"/>
      <c r="HX83" s="14"/>
      <c r="HY83" s="14"/>
      <c r="HZ83" s="14"/>
      <c r="IA83" s="14"/>
      <c r="IB83" s="11"/>
      <c r="IC83" s="11"/>
      <c r="ID83" s="11"/>
      <c r="IE83" s="11"/>
      <c r="IF83" s="11"/>
      <c r="IG83" s="11"/>
      <c r="IH83" s="11"/>
      <c r="II83" s="11"/>
      <c r="IJ83" s="11"/>
      <c r="IK83" s="11"/>
      <c r="IL83" s="14"/>
      <c r="IM83" s="14"/>
      <c r="IN83" s="14"/>
      <c r="IO83" s="14"/>
      <c r="IP83" s="14"/>
      <c r="IQ83" s="14"/>
      <c r="IR83" s="14"/>
      <c r="IS83" s="14"/>
      <c r="IT83" s="14"/>
      <c r="IU83" s="14"/>
      <c r="IV83" s="14"/>
      <c r="IW83" s="14"/>
      <c r="IX83" s="14"/>
      <c r="IY83" s="14"/>
      <c r="IZ83" s="14"/>
      <c r="JA83" s="14"/>
      <c r="JB83" s="14"/>
      <c r="JC83" s="14"/>
      <c r="JD83" s="14"/>
      <c r="JE83" s="14"/>
      <c r="JF83" s="14"/>
      <c r="JG83" s="14"/>
      <c r="JH83" s="14"/>
      <c r="JI83" s="14"/>
      <c r="JJ83" s="14"/>
      <c r="JK83" s="14"/>
      <c r="JL83" s="14"/>
      <c r="JM83" s="14"/>
      <c r="JN83" s="14"/>
      <c r="JO83" s="14"/>
      <c r="JP83" s="14"/>
      <c r="JQ83" s="14"/>
      <c r="JR83" s="14"/>
      <c r="JS83" s="14"/>
      <c r="JT83" s="14"/>
      <c r="JU83" s="14"/>
      <c r="JV83" s="14"/>
      <c r="JW83" s="14"/>
      <c r="JX83" s="14"/>
      <c r="JY83" s="14"/>
      <c r="JZ83" s="14"/>
      <c r="KA83" s="14"/>
      <c r="KB83" s="14"/>
      <c r="KC83" s="14"/>
      <c r="KD83" s="14"/>
      <c r="KE83" s="14"/>
      <c r="KF83" s="14"/>
      <c r="KG83" s="14"/>
      <c r="KH83" s="14"/>
      <c r="KI83" s="14"/>
      <c r="KJ83" s="14"/>
      <c r="KK83" s="14"/>
      <c r="KL83" s="14"/>
      <c r="KM83" s="14"/>
      <c r="KN83" s="14"/>
      <c r="KO83" s="14"/>
      <c r="KP83" s="14"/>
      <c r="KQ83" s="14"/>
      <c r="KR83" s="14"/>
      <c r="KS83" s="14"/>
      <c r="KT83" s="14"/>
      <c r="KU83" s="14"/>
      <c r="KV83" s="14"/>
      <c r="KW83" s="14"/>
      <c r="KX83" s="14"/>
      <c r="KY83" s="14"/>
      <c r="KZ83" s="14"/>
      <c r="LA83" s="14"/>
      <c r="LB83" s="14"/>
      <c r="LC83" s="14"/>
      <c r="LD83" s="14"/>
      <c r="LE83" s="14"/>
      <c r="LF83" s="14"/>
      <c r="LG83" s="14"/>
      <c r="LH83" s="14"/>
      <c r="LI83" s="14"/>
      <c r="LJ83" s="14"/>
      <c r="LK83" s="14"/>
      <c r="LL83" s="14"/>
      <c r="LM83" s="14"/>
    </row>
  </sheetData>
  <mergeCells count="343">
    <mergeCell ref="LU6:LW6"/>
    <mergeCell ref="LH7:LH8"/>
    <mergeCell ref="LI7:LI8"/>
    <mergeCell ref="LJ7:LJ8"/>
    <mergeCell ref="LK7:LK8"/>
    <mergeCell ref="LL7:LL8"/>
    <mergeCell ref="LM7:LM8"/>
    <mergeCell ref="LB7:LB8"/>
    <mergeCell ref="LC7:LC8"/>
    <mergeCell ref="LD7:LD8"/>
    <mergeCell ref="LE7:LE8"/>
    <mergeCell ref="LF7:LF8"/>
    <mergeCell ref="LG7:LG8"/>
    <mergeCell ref="KV7:KV8"/>
    <mergeCell ref="KW7:KW8"/>
    <mergeCell ref="KX7:KX8"/>
    <mergeCell ref="KY7:KY8"/>
    <mergeCell ref="KZ7:KZ8"/>
    <mergeCell ref="LA7:LA8"/>
    <mergeCell ref="KP7:KP8"/>
    <mergeCell ref="KQ7:KQ8"/>
    <mergeCell ref="KR7:KR8"/>
    <mergeCell ref="KS7:KS8"/>
    <mergeCell ref="KT7:KT8"/>
    <mergeCell ref="KU7:KU8"/>
    <mergeCell ref="KJ7:KJ8"/>
    <mergeCell ref="KK7:KK8"/>
    <mergeCell ref="KL7:KL8"/>
    <mergeCell ref="KM7:KM8"/>
    <mergeCell ref="KN7:KN8"/>
    <mergeCell ref="KO7:KO8"/>
    <mergeCell ref="KD7:KD8"/>
    <mergeCell ref="KE7:KE8"/>
    <mergeCell ref="KF7:KF8"/>
    <mergeCell ref="KG7:KG8"/>
    <mergeCell ref="KH7:KH8"/>
    <mergeCell ref="KI7:KI8"/>
    <mergeCell ref="JX7:JX8"/>
    <mergeCell ref="JY7:JY8"/>
    <mergeCell ref="JZ7:JZ8"/>
    <mergeCell ref="KA7:KA8"/>
    <mergeCell ref="KB7:KB8"/>
    <mergeCell ref="KC7:KC8"/>
    <mergeCell ref="JR7:JR8"/>
    <mergeCell ref="JS7:JS8"/>
    <mergeCell ref="JT7:JT8"/>
    <mergeCell ref="JU7:JU8"/>
    <mergeCell ref="JV7:JV8"/>
    <mergeCell ref="JW7:JW8"/>
    <mergeCell ref="JL7:JL8"/>
    <mergeCell ref="JM7:JM8"/>
    <mergeCell ref="JN7:JN8"/>
    <mergeCell ref="JO7:JO8"/>
    <mergeCell ref="JP7:JP8"/>
    <mergeCell ref="JQ7:JQ8"/>
    <mergeCell ref="JF7:JF8"/>
    <mergeCell ref="JG7:JG8"/>
    <mergeCell ref="JH7:JH8"/>
    <mergeCell ref="JI7:JI8"/>
    <mergeCell ref="JJ7:JJ8"/>
    <mergeCell ref="JK7:JK8"/>
    <mergeCell ref="IZ7:IZ8"/>
    <mergeCell ref="JA7:JA8"/>
    <mergeCell ref="JB7:JB8"/>
    <mergeCell ref="JC7:JC8"/>
    <mergeCell ref="JD7:JD8"/>
    <mergeCell ref="JE7:JE8"/>
    <mergeCell ref="IT7:IT8"/>
    <mergeCell ref="IU7:IU8"/>
    <mergeCell ref="IV7:IV8"/>
    <mergeCell ref="IW7:IW8"/>
    <mergeCell ref="IX7:IX8"/>
    <mergeCell ref="IY7:IY8"/>
    <mergeCell ref="IN7:IN8"/>
    <mergeCell ref="IO7:IO8"/>
    <mergeCell ref="IP7:IP8"/>
    <mergeCell ref="IQ7:IQ8"/>
    <mergeCell ref="IR7:IR8"/>
    <mergeCell ref="IS7:IS8"/>
    <mergeCell ref="IH7:IH8"/>
    <mergeCell ref="II7:II8"/>
    <mergeCell ref="IJ7:IJ8"/>
    <mergeCell ref="IK7:IK8"/>
    <mergeCell ref="IL7:IL8"/>
    <mergeCell ref="IM7:IM8"/>
    <mergeCell ref="IB7:IB8"/>
    <mergeCell ref="IC7:IC8"/>
    <mergeCell ref="ID7:ID8"/>
    <mergeCell ref="IE7:IE8"/>
    <mergeCell ref="IF7:IF8"/>
    <mergeCell ref="IG7:IG8"/>
    <mergeCell ref="HV7:HV8"/>
    <mergeCell ref="HW7:HW8"/>
    <mergeCell ref="HX7:HX8"/>
    <mergeCell ref="HY7:HY8"/>
    <mergeCell ref="HZ7:HZ8"/>
    <mergeCell ref="IA7:IA8"/>
    <mergeCell ref="HP7:HP8"/>
    <mergeCell ref="HQ7:HQ8"/>
    <mergeCell ref="HR7:HR8"/>
    <mergeCell ref="HS7:HS8"/>
    <mergeCell ref="HT7:HT8"/>
    <mergeCell ref="HU7:HU8"/>
    <mergeCell ref="EJ7:EJ8"/>
    <mergeCell ref="EK7:EK8"/>
    <mergeCell ref="HL7:HL8"/>
    <mergeCell ref="HM7:HM8"/>
    <mergeCell ref="HN7:HN8"/>
    <mergeCell ref="HO7:HO8"/>
    <mergeCell ref="ED7:ED8"/>
    <mergeCell ref="EE7:EE8"/>
    <mergeCell ref="EF7:EF8"/>
    <mergeCell ref="EG7:EG8"/>
    <mergeCell ref="EH7:EH8"/>
    <mergeCell ref="EI7:EI8"/>
    <mergeCell ref="DX7:DX8"/>
    <mergeCell ref="DY7:DY8"/>
    <mergeCell ref="DZ7:DZ8"/>
    <mergeCell ref="EA7:EA8"/>
    <mergeCell ref="EB7:EB8"/>
    <mergeCell ref="EC7:EC8"/>
    <mergeCell ref="DR7:DR8"/>
    <mergeCell ref="DS7:DS8"/>
    <mergeCell ref="DT7:DT8"/>
    <mergeCell ref="DU7:DU8"/>
    <mergeCell ref="DV7:DV8"/>
    <mergeCell ref="DW7:DW8"/>
    <mergeCell ref="DL7:DL8"/>
    <mergeCell ref="DM7:DM8"/>
    <mergeCell ref="DN7:DN8"/>
    <mergeCell ref="DO7:DO8"/>
    <mergeCell ref="DP7:DP8"/>
    <mergeCell ref="DQ7:DQ8"/>
    <mergeCell ref="DF7:DF8"/>
    <mergeCell ref="DG7:DG8"/>
    <mergeCell ref="DH7:DH8"/>
    <mergeCell ref="DI7:DI8"/>
    <mergeCell ref="DJ7:DJ8"/>
    <mergeCell ref="DK7:DK8"/>
    <mergeCell ref="CZ7:CZ8"/>
    <mergeCell ref="DA7:DA8"/>
    <mergeCell ref="DB7:DB8"/>
    <mergeCell ref="DC7:DC8"/>
    <mergeCell ref="DD7:DD8"/>
    <mergeCell ref="DE7:DE8"/>
    <mergeCell ref="CT7:CT8"/>
    <mergeCell ref="CU7:CU8"/>
    <mergeCell ref="CV7:CV8"/>
    <mergeCell ref="CW7:CW8"/>
    <mergeCell ref="CX7:CX8"/>
    <mergeCell ref="CY7:CY8"/>
    <mergeCell ref="CN7:CN8"/>
    <mergeCell ref="CO7:CO8"/>
    <mergeCell ref="CP7:CP8"/>
    <mergeCell ref="CQ7:CQ8"/>
    <mergeCell ref="CR7:CR8"/>
    <mergeCell ref="CS7:CS8"/>
    <mergeCell ref="CH7:CH8"/>
    <mergeCell ref="CI7:CI8"/>
    <mergeCell ref="CJ7:CJ8"/>
    <mergeCell ref="CK7:CK8"/>
    <mergeCell ref="CL7:CL8"/>
    <mergeCell ref="CM7:CM8"/>
    <mergeCell ref="CB7:CB8"/>
    <mergeCell ref="CC7:CC8"/>
    <mergeCell ref="CD7:CD8"/>
    <mergeCell ref="CE7:CE8"/>
    <mergeCell ref="CF7:CF8"/>
    <mergeCell ref="CG7:CG8"/>
    <mergeCell ref="BV7:BV8"/>
    <mergeCell ref="BW7:BW8"/>
    <mergeCell ref="BX7:BX8"/>
    <mergeCell ref="BY7:BY8"/>
    <mergeCell ref="BZ7:BZ8"/>
    <mergeCell ref="CA7:CA8"/>
    <mergeCell ref="BP7:BP8"/>
    <mergeCell ref="BQ7:BQ8"/>
    <mergeCell ref="BR7:BR8"/>
    <mergeCell ref="BS7:BS8"/>
    <mergeCell ref="BT7:BT8"/>
    <mergeCell ref="BU7:BU8"/>
    <mergeCell ref="BJ7:BJ8"/>
    <mergeCell ref="BK7:BK8"/>
    <mergeCell ref="BL7:BL8"/>
    <mergeCell ref="BM7:BM8"/>
    <mergeCell ref="BN7:BN8"/>
    <mergeCell ref="BO7:BO8"/>
    <mergeCell ref="BD7:BD8"/>
    <mergeCell ref="BE7:BE8"/>
    <mergeCell ref="BF7:BF8"/>
    <mergeCell ref="BG7:BG8"/>
    <mergeCell ref="BH7:BH8"/>
    <mergeCell ref="BI7:BI8"/>
    <mergeCell ref="AX7:AX8"/>
    <mergeCell ref="AY7:AY8"/>
    <mergeCell ref="AZ7:AZ8"/>
    <mergeCell ref="BA7:BA8"/>
    <mergeCell ref="BB7:BB8"/>
    <mergeCell ref="BC7:BC8"/>
    <mergeCell ref="AR7:AR8"/>
    <mergeCell ref="AS7:AS8"/>
    <mergeCell ref="AT7:AT8"/>
    <mergeCell ref="AU7:AU8"/>
    <mergeCell ref="AV7:AV8"/>
    <mergeCell ref="AW7:AW8"/>
    <mergeCell ref="AL7:AL8"/>
    <mergeCell ref="AM7:AM8"/>
    <mergeCell ref="AN7:AN8"/>
    <mergeCell ref="AO7:AO8"/>
    <mergeCell ref="AP7:AP8"/>
    <mergeCell ref="AQ7:AQ8"/>
    <mergeCell ref="AF7:AF8"/>
    <mergeCell ref="AG7:AG8"/>
    <mergeCell ref="AH7:AH8"/>
    <mergeCell ref="AI7:AI8"/>
    <mergeCell ref="AJ7:AJ8"/>
    <mergeCell ref="AK7:AK8"/>
    <mergeCell ref="Z7:Z8"/>
    <mergeCell ref="AA7:AA8"/>
    <mergeCell ref="AB7:AB8"/>
    <mergeCell ref="AC7:AC8"/>
    <mergeCell ref="AD7:AD8"/>
    <mergeCell ref="AE7:AE8"/>
    <mergeCell ref="T7:T8"/>
    <mergeCell ref="U7:U8"/>
    <mergeCell ref="V7:V8"/>
    <mergeCell ref="W7:W8"/>
    <mergeCell ref="X7:X8"/>
    <mergeCell ref="Y7:Y8"/>
    <mergeCell ref="N7:N8"/>
    <mergeCell ref="O7:O8"/>
    <mergeCell ref="P7:P8"/>
    <mergeCell ref="Q7:Q8"/>
    <mergeCell ref="R7:R8"/>
    <mergeCell ref="S7:S8"/>
    <mergeCell ref="KY6:LC6"/>
    <mergeCell ref="LD6:LH6"/>
    <mergeCell ref="LI6:LM6"/>
    <mergeCell ref="A7:A8"/>
    <mergeCell ref="B7:B8"/>
    <mergeCell ref="C7:C8"/>
    <mergeCell ref="D7:D8"/>
    <mergeCell ref="E7:G7"/>
    <mergeCell ref="L7:L8"/>
    <mergeCell ref="M7:M8"/>
    <mergeCell ref="JU6:JY6"/>
    <mergeCell ref="JZ6:KD6"/>
    <mergeCell ref="KE6:KI6"/>
    <mergeCell ref="KJ6:KN6"/>
    <mergeCell ref="KO6:KS6"/>
    <mergeCell ref="KT6:KX6"/>
    <mergeCell ref="IQ6:IU6"/>
    <mergeCell ref="IV6:IZ6"/>
    <mergeCell ref="JA6:JE6"/>
    <mergeCell ref="JF6:JJ6"/>
    <mergeCell ref="JK6:JO6"/>
    <mergeCell ref="JP6:JT6"/>
    <mergeCell ref="DW6:HO6"/>
    <mergeCell ref="HP6:HT6"/>
    <mergeCell ref="HU6:IA6"/>
    <mergeCell ref="IB6:IF6"/>
    <mergeCell ref="IG6:IK6"/>
    <mergeCell ref="IL6:IP6"/>
    <mergeCell ref="CS6:CW6"/>
    <mergeCell ref="CX6:DB6"/>
    <mergeCell ref="DC6:DG6"/>
    <mergeCell ref="DH6:DL6"/>
    <mergeCell ref="DM6:DQ6"/>
    <mergeCell ref="DR6:DV6"/>
    <mergeCell ref="BO6:BS6"/>
    <mergeCell ref="BT6:BX6"/>
    <mergeCell ref="BY6:CC6"/>
    <mergeCell ref="CD6:CH6"/>
    <mergeCell ref="CI6:CM6"/>
    <mergeCell ref="CN6:CR6"/>
    <mergeCell ref="AK6:AO6"/>
    <mergeCell ref="AP6:AT6"/>
    <mergeCell ref="AU6:AY6"/>
    <mergeCell ref="AZ6:BD6"/>
    <mergeCell ref="BE6:BI6"/>
    <mergeCell ref="BJ6:BN6"/>
    <mergeCell ref="KO5:KS5"/>
    <mergeCell ref="KT5:KX5"/>
    <mergeCell ref="KY5:LC5"/>
    <mergeCell ref="LD5:LH5"/>
    <mergeCell ref="LI5:LM5"/>
    <mergeCell ref="L6:P6"/>
    <mergeCell ref="Q6:U6"/>
    <mergeCell ref="V6:Z6"/>
    <mergeCell ref="AA6:AE6"/>
    <mergeCell ref="AF6:AJ6"/>
    <mergeCell ref="JK5:JO5"/>
    <mergeCell ref="JP5:JT5"/>
    <mergeCell ref="JU5:JY5"/>
    <mergeCell ref="JZ5:KD5"/>
    <mergeCell ref="KE5:KI5"/>
    <mergeCell ref="KJ5:KN5"/>
    <mergeCell ref="IG5:IK5"/>
    <mergeCell ref="IL5:IP5"/>
    <mergeCell ref="IQ5:IU5"/>
    <mergeCell ref="IV5:IZ5"/>
    <mergeCell ref="JA5:JE5"/>
    <mergeCell ref="JF5:JJ5"/>
    <mergeCell ref="DM5:DQ5"/>
    <mergeCell ref="DR5:DV5"/>
    <mergeCell ref="DW5:HO5"/>
    <mergeCell ref="HP5:HT5"/>
    <mergeCell ref="HU5:IA5"/>
    <mergeCell ref="IB5:IF5"/>
    <mergeCell ref="CI5:CM5"/>
    <mergeCell ref="CN5:CR5"/>
    <mergeCell ref="CS5:CW5"/>
    <mergeCell ref="CX5:DB5"/>
    <mergeCell ref="DC5:DG5"/>
    <mergeCell ref="DH5:DL5"/>
    <mergeCell ref="BE5:BI5"/>
    <mergeCell ref="BJ5:BN5"/>
    <mergeCell ref="BO5:BS5"/>
    <mergeCell ref="BT5:BX5"/>
    <mergeCell ref="BY5:CC5"/>
    <mergeCell ref="CD5:CH5"/>
    <mergeCell ref="HU4:HX4"/>
    <mergeCell ref="L5:P5"/>
    <mergeCell ref="Q5:U5"/>
    <mergeCell ref="V5:Z5"/>
    <mergeCell ref="AA5:AE5"/>
    <mergeCell ref="AF5:AJ5"/>
    <mergeCell ref="AK5:AO5"/>
    <mergeCell ref="AP5:AT5"/>
    <mergeCell ref="AU5:AY5"/>
    <mergeCell ref="AZ5:BD5"/>
    <mergeCell ref="AF1:AI1"/>
    <mergeCell ref="AP1:AS1"/>
    <mergeCell ref="AZ1:BC1"/>
    <mergeCell ref="BJ1:BM1"/>
    <mergeCell ref="BT1:BW1"/>
    <mergeCell ref="BX1:CH1"/>
    <mergeCell ref="A1:D1"/>
    <mergeCell ref="E1:G1"/>
    <mergeCell ref="L1:O1"/>
    <mergeCell ref="P1:U1"/>
    <mergeCell ref="V1:Y1"/>
    <mergeCell ref="Z1:AE1"/>
  </mergeCells>
  <conditionalFormatting sqref="L15:EI15">
    <cfRule type="cellIs" dxfId="2" priority="7" operator="between">
      <formula>82.02</formula>
      <formula>82.07</formula>
    </cfRule>
  </conditionalFormatting>
  <conditionalFormatting sqref="HX1:HX4 K9:K81 K7 LT9:LT81">
    <cfRule type="cellIs" dxfId="1" priority="5" stopIfTrue="1" operator="lessThan">
      <formula>1.33</formula>
    </cfRule>
    <cfRule type="cellIs" dxfId="0" priority="6" stopIfTrue="1" operator="greaterThan">
      <formula>1.33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Mc shop updated</vt:lpstr>
      <vt:lpstr>03.06.26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Arul Arangan R - GPD-CIP - QLTY</dc:creator>
  <cp:lastModifiedBy>105855</cp:lastModifiedBy>
  <cp:lastPrinted>2026-06-12T04:00:48Z</cp:lastPrinted>
  <dcterms:created xsi:type="dcterms:W3CDTF">2026-06-04T19:17:09Z</dcterms:created>
  <dcterms:modified xsi:type="dcterms:W3CDTF">2026-07-22T04:59:56Z</dcterms:modified>
</cp:coreProperties>
</file>