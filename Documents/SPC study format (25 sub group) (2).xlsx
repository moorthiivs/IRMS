
<file path=[Content_Types].xml><?xml version="1.0" encoding="utf-8"?>
<Types xmlns="http://schemas.openxmlformats.org/package/2006/content-types">
  <Override PartName="/xl/embeddings/oleObject8.bin" ContentType="application/vnd.openxmlformats-officedocument.oleObject"/>
  <Override PartName="/xl/embeddings/oleObject14.bin" ContentType="application/vnd.openxmlformats-officedocument.oleObject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12.bin" ContentType="application/vnd.openxmlformats-officedocument.oleObject"/>
  <Override PartName="/xl/embeddings/oleObject13.bin" ContentType="application/vnd.openxmlformats-officedocument.oleObject"/>
  <Override PartName="/xl/charts/chart4.xml" ContentType="application/vnd.openxmlformats-officedocument.drawingml.chart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charts/chart2.xml" ContentType="application/vnd.openxmlformats-officedocument.drawingml.chart+xml"/>
  <Default Extension="emf" ContentType="image/x-emf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Default Extension="vml" ContentType="application/vnd.openxmlformats-officedocument.vmlDrawing"/>
  <Override PartName="/xl/calcChain.xml" ContentType="application/vnd.openxmlformats-officedocument.spreadsheetml.calcChain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embeddings/oleObject9.bin" ContentType="application/vnd.openxmlformats-officedocument.oleObject"/>
  <Override PartName="/xl/embeddings/oleObject16.bin" ContentType="application/vnd.openxmlformats-officedocument.oleObject"/>
  <Override PartName="/docProps/core.xml" ContentType="application/vnd.openxmlformats-package.core-properties+xml"/>
  <Default Extension="bin" ContentType="application/vnd.openxmlformats-officedocument.spreadsheetml.printerSettings"/>
  <Override PartName="/xl/embeddings/oleObject7.bin" ContentType="application/vnd.openxmlformats-officedocument.oleObject"/>
  <Override PartName="/xl/embeddings/oleObject15.bin" ContentType="application/vnd.openxmlformats-officedocument.oleObject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20" yWindow="-120" windowWidth="24240" windowHeight="13740" firstSheet="1" activeTab="1"/>
  </bookViews>
  <sheets>
    <sheet name="Ppk" sheetId="1" state="hidden" r:id="rId1"/>
    <sheet name="Cpk" sheetId="3" r:id="rId2"/>
    <sheet name="Sheet1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\a" localSheetId="0">#REF!</definedName>
    <definedName name="\a">#REF!</definedName>
    <definedName name="\q" localSheetId="0">#REF!</definedName>
    <definedName name="\q">#REF!</definedName>
    <definedName name="\z">#REF!</definedName>
    <definedName name="_______NC003" localSheetId="0">'[1]MRM mins'!#REF!</definedName>
    <definedName name="_______NC003">'[1]MRM mins'!#REF!</definedName>
    <definedName name="_______NCR004" localSheetId="0">'[1]MRM Guidelines'!#REF!</definedName>
    <definedName name="_______NCR004">'[1]MRM Guidelines'!#REF!</definedName>
    <definedName name="______NC003" localSheetId="0">'[2]MRM mins'!#REF!</definedName>
    <definedName name="______NC003">'[2]MRM mins'!#REF!</definedName>
    <definedName name="______NCR004" localSheetId="0">'[2]MRM Guidelines'!#REF!</definedName>
    <definedName name="______NCR004">'[2]MRM Guidelines'!#REF!</definedName>
    <definedName name="_____NC003" localSheetId="0">'[3]MRM mins'!#REF!</definedName>
    <definedName name="_____NC003">'[3]MRM mins'!#REF!</definedName>
    <definedName name="_____NCR004" localSheetId="0">'[3]MRM Guidelines'!#REF!</definedName>
    <definedName name="_____NCR004">'[3]MRM Guidelines'!#REF!</definedName>
    <definedName name="____NC003" localSheetId="0">'[2]MRM mins'!#REF!</definedName>
    <definedName name="____NC003">'[2]MRM mins'!#REF!</definedName>
    <definedName name="____NCR004" localSheetId="0">'[2]MRM Guidelines'!#REF!</definedName>
    <definedName name="____NCR004">'[2]MRM Guidelines'!#REF!</definedName>
    <definedName name="___NC003" localSheetId="0">'[3]MRM mins'!#REF!</definedName>
    <definedName name="___NC003">'[3]MRM mins'!#REF!</definedName>
    <definedName name="___NCR004" localSheetId="0">'[3]MRM Guidelines'!#REF!</definedName>
    <definedName name="___NCR004">'[3]MRM Guidelines'!#REF!</definedName>
    <definedName name="__NC003" localSheetId="0">'[2]MRM mins'!#REF!</definedName>
    <definedName name="__NC003">'[2]MRM mins'!#REF!</definedName>
    <definedName name="__NCR004" localSheetId="0">'[2]MRM Guidelines'!#REF!</definedName>
    <definedName name="__NCR004">'[2]MRM Guidelines'!#REF!</definedName>
    <definedName name="_Fill" hidden="1">'[4]SAMPLE HISTOGRAM'!$P$19:$P$28</definedName>
    <definedName name="_GoA1">[5]!_GoA1</definedName>
    <definedName name="_Key1" localSheetId="0" hidden="1">#REF!</definedName>
    <definedName name="_Key1" hidden="1">#REF!</definedName>
    <definedName name="_NC003" localSheetId="0">'[2]MRM mins'!#REF!</definedName>
    <definedName name="_NC003">'[2]MRM mins'!#REF!</definedName>
    <definedName name="_NCR004" localSheetId="0">'[2]MRM Guidelines'!#REF!</definedName>
    <definedName name="_NCR004">'[2]MRM Guidelines'!#REF!</definedName>
    <definedName name="_Order1" hidden="1">255</definedName>
    <definedName name="_R1" localSheetId="0">[6]msa!#REF!</definedName>
    <definedName name="_R1">[6]msa!#REF!</definedName>
    <definedName name="_Sort" localSheetId="0" hidden="1">#REF!</definedName>
    <definedName name="_Sort" hidden="1">#REF!</definedName>
    <definedName name="_V1" localSheetId="0">#REF!</definedName>
    <definedName name="_V1">#REF!</definedName>
    <definedName name="aa" localSheetId="0" hidden="1">#REF!</definedName>
    <definedName name="aa" hidden="1">#REF!</definedName>
    <definedName name="Address">#REF!</definedName>
    <definedName name="Anfang_Tabelle">#REF!</definedName>
    <definedName name="at">#REF!</definedName>
    <definedName name="block">#REF!</definedName>
    <definedName name="block1">#REF!</definedName>
    <definedName name="Button84_Click">[7]!Button84_Click</definedName>
    <definedName name="Capture.Capture">[5]!Capture.Capture</definedName>
    <definedName name="City" localSheetId="0">#REF!</definedName>
    <definedName name="City">#REF!</definedName>
    <definedName name="Code" localSheetId="0" hidden="1">#REF!</definedName>
    <definedName name="Code" hidden="1">#REF!</definedName>
    <definedName name="Company" localSheetId="0">#REF!</definedName>
    <definedName name="Company">#REF!</definedName>
    <definedName name="Country">#REF!</definedName>
    <definedName name="Cpk_LCLX" localSheetId="0">#REF!:OFFSET(#REF!,COUNTA(#REF!)-1,0)</definedName>
    <definedName name="Cpk_LCLX">#REF!:OFFSET(#REF!,COUNTA(#REF!)-1,0)</definedName>
    <definedName name="Cpk_Mean" localSheetId="0">#REF!:OFFSET(#REF!,COUNTA(#REF!)-1,0)</definedName>
    <definedName name="Cpk_Mean">#REF!:OFFSET(#REF!,COUNTA(#REF!)-1,0)</definedName>
    <definedName name="Cpk_NumDataPoints">#REF!:OFFSET(#REF!,COUNTA(#REF!)-1,0)</definedName>
    <definedName name="Cpk_RangeAverage">#REF!:OFFSET(#REF!,COUNTA(#REF!)-1,0)</definedName>
    <definedName name="Cpk_TestValue">#REF!:OFFSET(#REF!,COUNTA(#REF!)-1,0)</definedName>
    <definedName name="Cpk_UCLR">#REF!:OFFSET(#REF!,COUNTA(#REF!)-1,0)</definedName>
    <definedName name="Cpk_UCLX">#REF!:OFFSET(#REF!,COUNTA(#REF!)-1,0)</definedName>
    <definedName name="Cpk_XmR">#REF!:OFFSET(#REF!,COUNTA(#REF!)-1,0)</definedName>
    <definedName name="data1" localSheetId="0" hidden="1">#REF!</definedName>
    <definedName name="data1" hidden="1">#REF!</definedName>
    <definedName name="data2" localSheetId="0" hidden="1">#REF!</definedName>
    <definedName name="data2" hidden="1">#REF!</definedName>
    <definedName name="data3" localSheetId="0" hidden="1">#REF!</definedName>
    <definedName name="data3" hidden="1">#REF!</definedName>
    <definedName name="DD" localSheetId="0">'[8]MRM mins'!#REF!</definedName>
    <definedName name="DD">'[8]MRM mins'!#REF!</definedName>
    <definedName name="ddd" localSheetId="0">'[2]MRM mins'!#REF!</definedName>
    <definedName name="ddd">'[2]MRM mins'!#REF!</definedName>
    <definedName name="DDDDD" localSheetId="0" hidden="1">#REF!</definedName>
    <definedName name="DDDDD" hidden="1">#REF!</definedName>
    <definedName name="ddfdfff" localSheetId="0">'[2]MRM mins'!#REF!</definedName>
    <definedName name="ddfdfff">'[2]MRM mins'!#REF!</definedName>
    <definedName name="deeeeeeee" localSheetId="0" hidden="1">#REF!</definedName>
    <definedName name="deeeeeeee" hidden="1">#REF!</definedName>
    <definedName name="der" localSheetId="0">'[2]MRM mins'!#REF!</definedName>
    <definedName name="der">'[2]MRM mins'!#REF!</definedName>
    <definedName name="Discount" localSheetId="0" hidden="1">#REF!</definedName>
    <definedName name="Discount" hidden="1">#REF!</definedName>
    <definedName name="display_area_2" localSheetId="0" hidden="1">#REF!</definedName>
    <definedName name="display_area_2" hidden="1">#REF!</definedName>
    <definedName name="Done">[9]General!$M$11</definedName>
    <definedName name="Done_11" localSheetId="0">'[10]MRM mins'!#REF!</definedName>
    <definedName name="Done_11">'[10]MRM mins'!#REF!</definedName>
    <definedName name="Done_12" localSheetId="0">#REF!</definedName>
    <definedName name="Done_12">#REF!</definedName>
    <definedName name="DONEE">[9]General!$M$11</definedName>
    <definedName name="Email" localSheetId="0">#REF!</definedName>
    <definedName name="Email">#REF!</definedName>
    <definedName name="Ende_Tabelle" localSheetId="0">#REF!</definedName>
    <definedName name="Ende_Tabelle">#REF!</definedName>
    <definedName name="Excel_BuiltIn__FilterDatabase_10" localSheetId="0">#REF!</definedName>
    <definedName name="Excel_BuiltIn__FilterDatabase_10">#REF!</definedName>
    <definedName name="Excel_BuiltIn__FilterDatabase_3">#REF!</definedName>
    <definedName name="Excel_BuiltIn__FilterDatabase_4">#REF!</definedName>
    <definedName name="Excel_BuiltIn__FilterDatabase_5">#REF!</definedName>
    <definedName name="Excel_BuiltIn__FilterDatabase_6">#REF!</definedName>
    <definedName name="Excel_BuiltIn__FilterDatabase_7">#REF!</definedName>
    <definedName name="Excel_BuiltIn__FilterDatabase_8">#REF!</definedName>
    <definedName name="Excel_BuiltIn_Print_Area_1_1">#REF!</definedName>
    <definedName name="Excel_BuiltIn_Print_Area_3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Titles_10">#REF!</definedName>
    <definedName name="Excel_BuiltIn_Print_Titles_11">'[10]MRM mins'!#REF!</definedName>
    <definedName name="Excel_BuiltIn_Print_Titles_12" localSheetId="0">#REF!</definedName>
    <definedName name="Excel_BuiltIn_Print_Titles_12">#REF!</definedName>
    <definedName name="Excel_BuiltIn_Print_Titles_3" localSheetId="0">#REF!</definedName>
    <definedName name="Excel_BuiltIn_Print_Titles_3">#REF!</definedName>
    <definedName name="Excel_BuiltIn_Print_Titles_4" localSheetId="0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Fax">#REF!</definedName>
    <definedName name="FCode" hidden="1">#REF!</definedName>
    <definedName name="fhjhfg">#REF!</definedName>
    <definedName name="FMEA">[5]!FMEA</definedName>
    <definedName name="gDataRange" localSheetId="0">#REF!</definedName>
    <definedName name="gDataRange">#REF!</definedName>
    <definedName name="gdfddss" localSheetId="0">#REF!</definedName>
    <definedName name="gdfddss">#REF!</definedName>
    <definedName name="GGGFF" localSheetId="0">#REF!</definedName>
    <definedName name="GGGFF">#REF!</definedName>
    <definedName name="Height">10</definedName>
    <definedName name="HGHJJJ" localSheetId="0">#REF!</definedName>
    <definedName name="HGHJJJ">#REF!</definedName>
    <definedName name="HHFGFF" localSheetId="0">'[3]MRM Guidelines'!#REF!</definedName>
    <definedName name="HHFGFF">'[3]MRM Guidelines'!#REF!</definedName>
    <definedName name="HHHH" localSheetId="0">#REF!</definedName>
    <definedName name="HHHH">#REF!</definedName>
    <definedName name="HiddenRows" localSheetId="0" hidden="1">#REF!</definedName>
    <definedName name="HiddenRows" hidden="1">#REF!</definedName>
    <definedName name="HJKKK" localSheetId="0" hidden="1">#REF!</definedName>
    <definedName name="HJKKK" hidden="1">#REF!</definedName>
    <definedName name="IYY" localSheetId="0">'[3]MRM Guidelines'!#REF!</definedName>
    <definedName name="IYY">'[3]MRM Guidelines'!#REF!</definedName>
    <definedName name="JHBHDHIDSIDSUIDSIVUCDSH" localSheetId="0">'[3]MRM mins'!#REF!</definedName>
    <definedName name="JHBHDHIDSIDSUIDSIVUCDSH">'[3]MRM mins'!#REF!</definedName>
    <definedName name="JHDJD" localSheetId="0">#REF!</definedName>
    <definedName name="JHDJD">#REF!</definedName>
    <definedName name="kjhgfff" localSheetId="0">'[11]MRM mins'!#REF!</definedName>
    <definedName name="kjhgfff">'[11]MRM mins'!#REF!</definedName>
    <definedName name="kjtgfgfg" localSheetId="0">#REF!</definedName>
    <definedName name="kjtgfgfg">#REF!</definedName>
    <definedName name="Kopiervorlage" localSheetId="0">#REF!</definedName>
    <definedName name="Kopiervorlage">#REF!</definedName>
    <definedName name="LKJH" localSheetId="0">'[3]MRM Guidelines'!#REF!</definedName>
    <definedName name="LKJH">'[3]MRM Guidelines'!#REF!</definedName>
    <definedName name="LKJHHH" localSheetId="0">'[3]MRM Guidelines'!#REF!</definedName>
    <definedName name="LKJHHH">'[3]MRM Guidelines'!#REF!</definedName>
    <definedName name="llll" localSheetId="0">#REF!</definedName>
    <definedName name="llll">#REF!</definedName>
    <definedName name="MEAN" localSheetId="0">[12]Sheet3!#REF!</definedName>
    <definedName name="MEAN">[12]Sheet3!#REF!</definedName>
    <definedName name="mm" localSheetId="0" hidden="1">#REF!</definedName>
    <definedName name="mm" hidden="1">#REF!</definedName>
    <definedName name="Name" localSheetId="0">#REF!</definedName>
    <definedName name="Name">#REF!</definedName>
    <definedName name="OrderTable" localSheetId="0" hidden="1">#REF!</definedName>
    <definedName name="OrderTable" hidden="1">#REF!</definedName>
    <definedName name="Phone">#REF!</definedName>
    <definedName name="POHGBVBNN">#REF!</definedName>
    <definedName name="ppp">'[2]MRM mins'!#REF!</definedName>
    <definedName name="PPPIUUU">'[2]MRM mins'!#REF!</definedName>
    <definedName name="PPPP" localSheetId="0" hidden="1">#REF!</definedName>
    <definedName name="PPPP" hidden="1">#REF!</definedName>
    <definedName name="_xlnm.Print_Area" localSheetId="1">Cpk!$A$2:$AK$39</definedName>
    <definedName name="_xlnm.Print_Area" localSheetId="0">Ppk!$A$2:$AK$39</definedName>
    <definedName name="Print_Area_MI">'[13]CONTROL PLAN'!$A$42:$N$66</definedName>
    <definedName name="Print_Titles_MI">'[13]CONTROL PLAN'!$A$3:$IV$3</definedName>
    <definedName name="readings" localSheetId="0">#REF!</definedName>
    <definedName name="readings">#REF!</definedName>
    <definedName name="REIHE" localSheetId="0">#REF!</definedName>
    <definedName name="REIHE">#REF!</definedName>
    <definedName name="rk">[12]Sheet3!#REF!</definedName>
    <definedName name="rrrrr" localSheetId="0">'[3]MRM mins'!#REF!</definedName>
    <definedName name="rrrrr">'[3]MRM mins'!#REF!</definedName>
    <definedName name="Sachnummer_L" localSheetId="0">#REF!</definedName>
    <definedName name="Sachnummer_L">#REF!</definedName>
    <definedName name="SIGMA" localSheetId="0">[12]Sheet3!#REF!</definedName>
    <definedName name="SIGMA">[12]Sheet3!#REF!</definedName>
    <definedName name="SLGFRHFOUISHFUSDHCKD" localSheetId="0">'[14]QMS-CHECK LIST'!#REF!</definedName>
    <definedName name="SLGFRHFOUISHFUSDHCKD">'[14]QMS-CHECK LIST'!#REF!</definedName>
    <definedName name="SpecialPrice" localSheetId="0" hidden="1">#REF!</definedName>
    <definedName name="SpecialPrice" hidden="1">#REF!</definedName>
    <definedName name="State" localSheetId="0">#REF!</definedName>
    <definedName name="State">#REF!</definedName>
    <definedName name="TABLE_1" localSheetId="0">'[14]QMS-CHECK LIST'!#REF!</definedName>
    <definedName name="TABLE_1">'[14]QMS-CHECK LIST'!#REF!</definedName>
    <definedName name="tbl_ProdInfo" localSheetId="0" hidden="1">#REF!</definedName>
    <definedName name="tbl_ProdInfo" hidden="1">#REF!</definedName>
    <definedName name="tre" localSheetId="0">#REF!</definedName>
    <definedName name="tre">#REF!</definedName>
    <definedName name="tyes" localSheetId="0">'[3]MRM Guidelines'!#REF!</definedName>
    <definedName name="tyes">'[3]MRM Guidelines'!#REF!</definedName>
    <definedName name="uyggh" localSheetId="0">#REF!</definedName>
    <definedName name="uyggh">#REF!</definedName>
    <definedName name="uyhbbnm" localSheetId="0" hidden="1">#REF!</definedName>
    <definedName name="uyhbbnm" hidden="1">#REF!</definedName>
    <definedName name="uyhgbg" localSheetId="0">'[3]MRM Guidelines'!#REF!</definedName>
    <definedName name="uyhgbg">'[3]MRM Guidelines'!#REF!</definedName>
    <definedName name="VGVF" localSheetId="0">'[10]MRM mins'!#REF!</definedName>
    <definedName name="VGVF">'[10]MRM mins'!#REF!</definedName>
    <definedName name="wdrerfff" localSheetId="0">'[3]MRM Guidelines'!#REF!</definedName>
    <definedName name="wdrerfff">'[3]MRM Guidelines'!#REF!</definedName>
    <definedName name="Width">4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3" i="3"/>
  <c r="AA39"/>
  <c r="Z39"/>
  <c r="Y39"/>
  <c r="X39"/>
  <c r="W39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AA38"/>
  <c r="Z38"/>
  <c r="Y38"/>
  <c r="X38"/>
  <c r="W38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AH23"/>
  <c r="X49" s="1"/>
  <c r="AH22"/>
  <c r="Y48" s="1"/>
  <c r="AH20"/>
  <c r="AH23" i="1"/>
  <c r="AA49" s="1"/>
  <c r="V49"/>
  <c r="S49"/>
  <c r="Q49"/>
  <c r="O49"/>
  <c r="N49"/>
  <c r="K49"/>
  <c r="J49"/>
  <c r="I49"/>
  <c r="F49"/>
  <c r="E49"/>
  <c r="C49"/>
  <c r="AH22"/>
  <c r="V48"/>
  <c r="S48"/>
  <c r="C39"/>
  <c r="D39"/>
  <c r="E39"/>
  <c r="F39"/>
  <c r="G39"/>
  <c r="H39"/>
  <c r="I39"/>
  <c r="J39"/>
  <c r="K39"/>
  <c r="L39"/>
  <c r="M39"/>
  <c r="N39"/>
  <c r="O39"/>
  <c r="P39"/>
  <c r="Q39"/>
  <c r="R39"/>
  <c r="S39"/>
  <c r="T39"/>
  <c r="U39"/>
  <c r="V39"/>
  <c r="W39"/>
  <c r="X39"/>
  <c r="Y39"/>
  <c r="Z39"/>
  <c r="AA39"/>
  <c r="C38"/>
  <c r="D38"/>
  <c r="E38"/>
  <c r="F38"/>
  <c r="G38"/>
  <c r="H38"/>
  <c r="I38"/>
  <c r="J38"/>
  <c r="K38"/>
  <c r="L38"/>
  <c r="M38"/>
  <c r="N38"/>
  <c r="O38"/>
  <c r="P38"/>
  <c r="Q38"/>
  <c r="R38"/>
  <c r="S38"/>
  <c r="T38"/>
  <c r="U38"/>
  <c r="V38"/>
  <c r="W38"/>
  <c r="X38"/>
  <c r="Y38"/>
  <c r="Z38"/>
  <c r="AA38"/>
  <c r="AH20"/>
  <c r="AH21"/>
  <c r="AH26" l="1"/>
  <c r="AA48"/>
  <c r="N48"/>
  <c r="K48"/>
  <c r="J48"/>
  <c r="F48"/>
  <c r="C48"/>
  <c r="R48"/>
  <c r="AI13" i="3"/>
  <c r="AA43" s="1"/>
  <c r="U49" i="1"/>
  <c r="G48"/>
  <c r="O48"/>
  <c r="W48"/>
  <c r="E49" i="3"/>
  <c r="M49"/>
  <c r="J49"/>
  <c r="R49"/>
  <c r="Z49"/>
  <c r="I49"/>
  <c r="Q49"/>
  <c r="Y49"/>
  <c r="F49"/>
  <c r="N49"/>
  <c r="V49"/>
  <c r="U49"/>
  <c r="AI16"/>
  <c r="AH21" s="1"/>
  <c r="AH26" s="1"/>
  <c r="E48" i="1"/>
  <c r="I48"/>
  <c r="M48"/>
  <c r="Q48"/>
  <c r="U48"/>
  <c r="Z48"/>
  <c r="D48"/>
  <c r="H48"/>
  <c r="L48"/>
  <c r="P48"/>
  <c r="T48"/>
  <c r="X48"/>
  <c r="G49"/>
  <c r="M49"/>
  <c r="R49"/>
  <c r="X49"/>
  <c r="AI16"/>
  <c r="R46" s="1"/>
  <c r="AI13"/>
  <c r="Z43" s="1"/>
  <c r="D43"/>
  <c r="G43"/>
  <c r="E43"/>
  <c r="N46"/>
  <c r="T46"/>
  <c r="I46"/>
  <c r="O46"/>
  <c r="X46"/>
  <c r="AI18"/>
  <c r="AH25"/>
  <c r="AH27" s="1"/>
  <c r="AB29" s="1"/>
  <c r="AH24"/>
  <c r="D49"/>
  <c r="H49"/>
  <c r="L49"/>
  <c r="P49"/>
  <c r="T49"/>
  <c r="Z49"/>
  <c r="C48" i="3"/>
  <c r="K48"/>
  <c r="O48"/>
  <c r="S48"/>
  <c r="AA48"/>
  <c r="F48"/>
  <c r="J48"/>
  <c r="N48"/>
  <c r="R48"/>
  <c r="V48"/>
  <c r="Z48"/>
  <c r="D48"/>
  <c r="H48"/>
  <c r="L48"/>
  <c r="P48"/>
  <c r="T48"/>
  <c r="X48"/>
  <c r="C49"/>
  <c r="G49"/>
  <c r="K49"/>
  <c r="O49"/>
  <c r="S49"/>
  <c r="W49"/>
  <c r="AA49"/>
  <c r="G48"/>
  <c r="W48"/>
  <c r="E48"/>
  <c r="I48"/>
  <c r="M48"/>
  <c r="Q48"/>
  <c r="U48"/>
  <c r="D49"/>
  <c r="H49"/>
  <c r="L49"/>
  <c r="P49"/>
  <c r="T49"/>
  <c r="Y48" i="1"/>
  <c r="W49"/>
  <c r="Y49"/>
  <c r="N46" i="3" l="1"/>
  <c r="S43"/>
  <c r="I46"/>
  <c r="E43"/>
  <c r="AH25"/>
  <c r="AH27" s="1"/>
  <c r="AB29" s="1"/>
  <c r="C43"/>
  <c r="AI14"/>
  <c r="X42" s="1"/>
  <c r="I43"/>
  <c r="AH24"/>
  <c r="R43"/>
  <c r="X43"/>
  <c r="AI17"/>
  <c r="X45" s="1"/>
  <c r="O43"/>
  <c r="N43"/>
  <c r="AI15"/>
  <c r="U44" s="1"/>
  <c r="T43"/>
  <c r="K43"/>
  <c r="P43"/>
  <c r="Y43"/>
  <c r="Z43"/>
  <c r="J43"/>
  <c r="L43"/>
  <c r="U43"/>
  <c r="W43"/>
  <c r="G43"/>
  <c r="D43"/>
  <c r="M43"/>
  <c r="V43"/>
  <c r="F43"/>
  <c r="H43"/>
  <c r="Q43"/>
  <c r="C43" i="1"/>
  <c r="U43"/>
  <c r="V43"/>
  <c r="L43"/>
  <c r="W43"/>
  <c r="R43"/>
  <c r="Y43"/>
  <c r="S43"/>
  <c r="F43"/>
  <c r="T46" i="3"/>
  <c r="O46"/>
  <c r="U46"/>
  <c r="X46"/>
  <c r="M46"/>
  <c r="P46"/>
  <c r="J46"/>
  <c r="Z46"/>
  <c r="H46"/>
  <c r="K46"/>
  <c r="AA46"/>
  <c r="E46"/>
  <c r="L46"/>
  <c r="F46"/>
  <c r="V46"/>
  <c r="Y46"/>
  <c r="G46"/>
  <c r="W46"/>
  <c r="D46"/>
  <c r="AI18"/>
  <c r="N47" s="1"/>
  <c r="R46"/>
  <c r="Q46"/>
  <c r="C46"/>
  <c r="S46"/>
  <c r="Y46" i="1"/>
  <c r="P46"/>
  <c r="K46"/>
  <c r="AA46"/>
  <c r="H46"/>
  <c r="J46"/>
  <c r="Z46"/>
  <c r="AI14"/>
  <c r="P42" s="1"/>
  <c r="Q46"/>
  <c r="L46"/>
  <c r="G46"/>
  <c r="W46"/>
  <c r="U46"/>
  <c r="F46"/>
  <c r="V46"/>
  <c r="Q43"/>
  <c r="X43"/>
  <c r="O43"/>
  <c r="I43"/>
  <c r="P43"/>
  <c r="N43"/>
  <c r="AI15"/>
  <c r="D44" s="1"/>
  <c r="E46"/>
  <c r="D46"/>
  <c r="C46"/>
  <c r="S46"/>
  <c r="M46"/>
  <c r="AI17"/>
  <c r="AA45" s="1"/>
  <c r="M43"/>
  <c r="T43"/>
  <c r="K43"/>
  <c r="AA43"/>
  <c r="H43"/>
  <c r="J43"/>
  <c r="S45"/>
  <c r="E45"/>
  <c r="Z45"/>
  <c r="H45"/>
  <c r="D45"/>
  <c r="Y47"/>
  <c r="U47"/>
  <c r="Q47"/>
  <c r="M47"/>
  <c r="I47"/>
  <c r="E47"/>
  <c r="K47"/>
  <c r="X47"/>
  <c r="P47"/>
  <c r="D47"/>
  <c r="Z47"/>
  <c r="V47"/>
  <c r="R47"/>
  <c r="N47"/>
  <c r="J47"/>
  <c r="F47"/>
  <c r="AA47"/>
  <c r="W47"/>
  <c r="S47"/>
  <c r="O47"/>
  <c r="G47"/>
  <c r="C47"/>
  <c r="T47"/>
  <c r="L47"/>
  <c r="H47"/>
  <c r="L44"/>
  <c r="C44"/>
  <c r="J44"/>
  <c r="R44"/>
  <c r="X42"/>
  <c r="T42"/>
  <c r="L42"/>
  <c r="H42"/>
  <c r="D42"/>
  <c r="N42"/>
  <c r="F42"/>
  <c r="AA42"/>
  <c r="K42"/>
  <c r="C42"/>
  <c r="Y42"/>
  <c r="Q42"/>
  <c r="M42"/>
  <c r="I42"/>
  <c r="Z42"/>
  <c r="R42"/>
  <c r="J42"/>
  <c r="O42"/>
  <c r="G42"/>
  <c r="AA42" i="3" l="1"/>
  <c r="Z42"/>
  <c r="U42"/>
  <c r="D42"/>
  <c r="K44"/>
  <c r="O42"/>
  <c r="N44"/>
  <c r="G42"/>
  <c r="Y42"/>
  <c r="C44"/>
  <c r="M42"/>
  <c r="L42"/>
  <c r="R42"/>
  <c r="H44"/>
  <c r="E42"/>
  <c r="X44"/>
  <c r="AA44"/>
  <c r="N45"/>
  <c r="Y44"/>
  <c r="W42"/>
  <c r="T42"/>
  <c r="M44"/>
  <c r="C45"/>
  <c r="V42"/>
  <c r="K42"/>
  <c r="F42"/>
  <c r="Q42"/>
  <c r="P42"/>
  <c r="L45"/>
  <c r="D44"/>
  <c r="J44"/>
  <c r="S45"/>
  <c r="J42"/>
  <c r="C42"/>
  <c r="S42"/>
  <c r="N42"/>
  <c r="I42"/>
  <c r="H42"/>
  <c r="U45"/>
  <c r="F44"/>
  <c r="T44"/>
  <c r="I44"/>
  <c r="M47"/>
  <c r="R45"/>
  <c r="X47"/>
  <c r="V45"/>
  <c r="G45"/>
  <c r="W45"/>
  <c r="Z45"/>
  <c r="Y45"/>
  <c r="P45"/>
  <c r="D47"/>
  <c r="R47"/>
  <c r="I45"/>
  <c r="K45"/>
  <c r="AA45"/>
  <c r="E45"/>
  <c r="D45"/>
  <c r="T45"/>
  <c r="S44"/>
  <c r="V44"/>
  <c r="L44"/>
  <c r="G44"/>
  <c r="R44"/>
  <c r="Q44"/>
  <c r="O47"/>
  <c r="F45"/>
  <c r="Q45"/>
  <c r="O45"/>
  <c r="J45"/>
  <c r="M45"/>
  <c r="H45"/>
  <c r="W44"/>
  <c r="Z44"/>
  <c r="P44"/>
  <c r="O44"/>
  <c r="E44"/>
  <c r="P47"/>
  <c r="S47"/>
  <c r="Q47"/>
  <c r="AA47"/>
  <c r="V47"/>
  <c r="T47"/>
  <c r="W47"/>
  <c r="Y47"/>
  <c r="F47"/>
  <c r="Z47"/>
  <c r="C47"/>
  <c r="I47"/>
  <c r="L47"/>
  <c r="J47"/>
  <c r="W45" i="1"/>
  <c r="V45"/>
  <c r="T45"/>
  <c r="C45"/>
  <c r="I45"/>
  <c r="X45"/>
  <c r="G45"/>
  <c r="Z44"/>
  <c r="K44"/>
  <c r="Q44"/>
  <c r="S44"/>
  <c r="H47" i="3"/>
  <c r="G47"/>
  <c r="E47"/>
  <c r="U47"/>
  <c r="K47"/>
  <c r="Y44" i="1"/>
  <c r="W44"/>
  <c r="G44"/>
  <c r="P44"/>
  <c r="O44"/>
  <c r="H44"/>
  <c r="M44"/>
  <c r="V44"/>
  <c r="F44"/>
  <c r="X44"/>
  <c r="U44"/>
  <c r="E44"/>
  <c r="N44"/>
  <c r="N45"/>
  <c r="U45"/>
  <c r="P45"/>
  <c r="R45"/>
  <c r="Y45"/>
  <c r="O45"/>
  <c r="W42"/>
  <c r="E42"/>
  <c r="U42"/>
  <c r="S42"/>
  <c r="V42"/>
  <c r="I44"/>
  <c r="AA44"/>
  <c r="T44"/>
  <c r="F45"/>
  <c r="Q45"/>
  <c r="L45"/>
  <c r="J45"/>
  <c r="M45"/>
  <c r="K45"/>
</calcChain>
</file>

<file path=xl/sharedStrings.xml><?xml version="1.0" encoding="utf-8"?>
<sst xmlns="http://schemas.openxmlformats.org/spreadsheetml/2006/main" count="177" uniqueCount="91">
  <si>
    <t>DST</t>
  </si>
  <si>
    <t>FT/QC/8.1.2/06  (R0)</t>
  </si>
  <si>
    <t>PART NAME</t>
  </si>
  <si>
    <t>PROCESS NAME</t>
  </si>
  <si>
    <t>TEST EQUIPMENT</t>
  </si>
  <si>
    <t>DATE</t>
  </si>
  <si>
    <t>PART NO</t>
  </si>
  <si>
    <t>CONTROL PARAMETER</t>
  </si>
  <si>
    <t>LEAST COUNT</t>
  </si>
  <si>
    <t>REVIEWED BY</t>
  </si>
  <si>
    <t>CUSTOMER</t>
  </si>
  <si>
    <t>SPECIFICATION</t>
  </si>
  <si>
    <t>MIN</t>
  </si>
  <si>
    <t>MAX</t>
  </si>
  <si>
    <t>MEASURED BY</t>
  </si>
  <si>
    <t>AVERAGE</t>
  </si>
  <si>
    <t>Xbar-R CONTROL CHART</t>
  </si>
  <si>
    <t>CALCULATIONS</t>
  </si>
  <si>
    <t>SAMPLE SIZE</t>
  </si>
  <si>
    <r>
      <t>A</t>
    </r>
    <r>
      <rPr>
        <vertAlign val="subscript"/>
        <sz val="10"/>
        <rFont val="Times New Roman"/>
        <family val="1"/>
      </rPr>
      <t>2</t>
    </r>
  </si>
  <si>
    <r>
      <t>D</t>
    </r>
    <r>
      <rPr>
        <vertAlign val="subscript"/>
        <sz val="10"/>
        <rFont val="Times New Roman"/>
        <family val="1"/>
      </rPr>
      <t>3</t>
    </r>
  </si>
  <si>
    <r>
      <t>D</t>
    </r>
    <r>
      <rPr>
        <vertAlign val="subscript"/>
        <sz val="10"/>
        <rFont val="Times New Roman"/>
        <family val="1"/>
      </rPr>
      <t>4</t>
    </r>
  </si>
  <si>
    <t>DIVISION</t>
  </si>
  <si>
    <t>FORMULA</t>
  </si>
  <si>
    <t>RESULT</t>
  </si>
  <si>
    <t>CL</t>
  </si>
  <si>
    <t>UCL</t>
  </si>
  <si>
    <t>LCL</t>
  </si>
  <si>
    <t>R</t>
  </si>
  <si>
    <t>RANGE</t>
  </si>
  <si>
    <t>X bar</t>
  </si>
  <si>
    <t>s</t>
  </si>
  <si>
    <t>STANDARD DEVEATION</t>
  </si>
  <si>
    <t>USL</t>
  </si>
  <si>
    <t>UPPER LIMIT</t>
  </si>
  <si>
    <t>LSL</t>
  </si>
  <si>
    <t>LOWER LIMIT</t>
  </si>
  <si>
    <t>Pp</t>
  </si>
  <si>
    <t>(USL-LSL)/6s</t>
  </si>
  <si>
    <t>Ppu</t>
  </si>
  <si>
    <t>(USL - X bar )/3s</t>
  </si>
  <si>
    <t>Ppl</t>
  </si>
  <si>
    <t>( X bar - LSL)/3s</t>
  </si>
  <si>
    <t>Ppk</t>
  </si>
  <si>
    <t>MIN(Ppu,Ppl)</t>
  </si>
  <si>
    <t>DISPOSITION</t>
  </si>
  <si>
    <t>SAMPLING</t>
  </si>
  <si>
    <t>DATA</t>
  </si>
  <si>
    <t>X1</t>
  </si>
  <si>
    <t>X2</t>
  </si>
  <si>
    <t>ACCEPTANCE CRITERIA</t>
  </si>
  <si>
    <t>X3</t>
  </si>
  <si>
    <t>INTERPRETATION</t>
  </si>
  <si>
    <t>X4</t>
  </si>
  <si>
    <t>Index  &gt; 1.67</t>
  </si>
  <si>
    <t>Accepted</t>
  </si>
  <si>
    <t>X5</t>
  </si>
  <si>
    <r>
      <t xml:space="preserve">1.33 </t>
    </r>
    <r>
      <rPr>
        <sz val="10"/>
        <rFont val="Calibri"/>
        <family val="2"/>
      </rPr>
      <t>≤ Index</t>
    </r>
    <r>
      <rPr>
        <sz val="10"/>
        <rFont val="Times New Roman"/>
        <family val="1"/>
      </rPr>
      <t xml:space="preserve"> </t>
    </r>
    <r>
      <rPr>
        <sz val="10"/>
        <rFont val="Calibri"/>
        <family val="2"/>
      </rPr>
      <t xml:space="preserve">≤ </t>
    </r>
    <r>
      <rPr>
        <sz val="10"/>
        <rFont val="Times New Roman"/>
        <family val="1"/>
      </rPr>
      <t>1.67</t>
    </r>
  </si>
  <si>
    <t>May be Accepted</t>
  </si>
  <si>
    <t xml:space="preserve">  (AVERAGE)</t>
  </si>
  <si>
    <t>Index  &lt; 1.33</t>
  </si>
  <si>
    <t>Not Accepted</t>
  </si>
  <si>
    <t>R (RANGE)</t>
  </si>
  <si>
    <r>
      <t>▶GRAPH FOR ANALYSIS  (</t>
    </r>
    <r>
      <rPr>
        <sz val="11"/>
        <color indexed="10"/>
        <rFont val="Times New Roman"/>
        <family val="1"/>
      </rPr>
      <t>★DON’T DELETE</t>
    </r>
    <r>
      <rPr>
        <sz val="11"/>
        <color indexed="22"/>
        <rFont val="Times New Roman"/>
        <family val="1"/>
      </rPr>
      <t>)</t>
    </r>
  </si>
  <si>
    <t>Xbar</t>
  </si>
  <si>
    <t>LIMIT</t>
  </si>
  <si>
    <r>
      <t>PROCESS CAPABILITY INDEX (</t>
    </r>
    <r>
      <rPr>
        <b/>
        <sz val="14"/>
        <rFont val="Times New Roman"/>
        <family val="1"/>
      </rPr>
      <t>C</t>
    </r>
    <r>
      <rPr>
        <b/>
        <sz val="11"/>
        <rFont val="Times New Roman"/>
        <family val="1"/>
      </rPr>
      <t>pk)</t>
    </r>
  </si>
  <si>
    <t>σ</t>
  </si>
  <si>
    <r>
      <rPr>
        <sz val="12"/>
        <rFont val="Times New Roman"/>
        <family val="1"/>
      </rPr>
      <t>C</t>
    </r>
    <r>
      <rPr>
        <sz val="10"/>
        <rFont val="Times New Roman"/>
        <family val="1"/>
      </rPr>
      <t>p</t>
    </r>
  </si>
  <si>
    <t>(USL-LSL)/6σ</t>
  </si>
  <si>
    <r>
      <rPr>
        <sz val="12"/>
        <rFont val="Times New Roman"/>
        <family val="1"/>
      </rPr>
      <t>C</t>
    </r>
    <r>
      <rPr>
        <sz val="10"/>
        <rFont val="Times New Roman"/>
        <family val="1"/>
      </rPr>
      <t>pu</t>
    </r>
  </si>
  <si>
    <t>(USL - X bar )/3σ</t>
  </si>
  <si>
    <r>
      <rPr>
        <sz val="12"/>
        <rFont val="Times New Roman"/>
        <family val="1"/>
      </rPr>
      <t>C</t>
    </r>
    <r>
      <rPr>
        <sz val="10"/>
        <rFont val="Times New Roman"/>
        <family val="1"/>
      </rPr>
      <t>pl</t>
    </r>
  </si>
  <si>
    <t>( X bar - LSL)/3σ</t>
  </si>
  <si>
    <t>Cpk</t>
  </si>
  <si>
    <t>MIN(Cpu,Cpl)</t>
  </si>
  <si>
    <t>D2</t>
  </si>
  <si>
    <t>R Bar / d2</t>
  </si>
  <si>
    <t>X BAR －Ｒ　CONTROL CHART - Ppk</t>
  </si>
  <si>
    <t>X BAR －Ｒ　CONTROL CHART - Cpk</t>
  </si>
  <si>
    <t>PROCESS PERFORMANCE INDEX (Ppk)</t>
  </si>
  <si>
    <t>Part no</t>
  </si>
  <si>
    <t>Parameter</t>
  </si>
  <si>
    <t>Mahcine no</t>
  </si>
  <si>
    <t xml:space="preserve">Shift </t>
  </si>
  <si>
    <t>Inspector name</t>
  </si>
  <si>
    <t>Readings 1</t>
  </si>
  <si>
    <t>Readings 2</t>
  </si>
  <si>
    <t>Readings3</t>
  </si>
  <si>
    <t>Readings 4</t>
  </si>
  <si>
    <t>Readings 5</t>
  </si>
</sst>
</file>

<file path=xl/styles.xml><?xml version="1.0" encoding="utf-8"?>
<styleSheet xmlns="http://schemas.openxmlformats.org/spreadsheetml/2006/main">
  <numFmts count="31">
    <numFmt numFmtId="41" formatCode="_ * #,##0_ ;_ * \-#,##0_ ;_ * &quot;-&quot;_ ;_ @_ "/>
    <numFmt numFmtId="43" formatCode="_ * #,##0.00_ ;_ * \-#,##0.00_ ;_ * &quot;-&quot;??_ ;_ @_ "/>
    <numFmt numFmtId="164" formatCode="_-* #,##0_-;\-* #,##0_-;_-* &quot;-&quot;_-;_-@_-"/>
    <numFmt numFmtId="165" formatCode="_-* #,##0.00_-;\-* #,##0.00_-;_-* &quot;-&quot;??_-;_-@_-"/>
    <numFmt numFmtId="166" formatCode="0.000\ "/>
    <numFmt numFmtId="167" formatCode="yy\.m\.d"/>
    <numFmt numFmtId="168" formatCode="0.000"/>
    <numFmt numFmtId="169" formatCode="0.00_ "/>
    <numFmt numFmtId="170" formatCode="000"/>
    <numFmt numFmtId="171" formatCode="General_)"/>
    <numFmt numFmtId="172" formatCode="#,##0.0_);\(#,##0.0\)"/>
    <numFmt numFmtId="173" formatCode="#,##0.000_);\(#,##0.000\)"/>
    <numFmt numFmtId="174" formatCode="yyyy"/>
    <numFmt numFmtId="175" formatCode="\(0.00%"/>
    <numFmt numFmtId="176" formatCode="_ &quot;S/.&quot;* #,##0.00_ ;_ &quot;S/.&quot;* \-#,##0.00_ ;_ &quot;S/.&quot;* &quot;-&quot;??_ ;_ @_ "/>
    <numFmt numFmtId="177" formatCode="#,##0.00;[Red]&quot;-&quot;#,##0.00"/>
    <numFmt numFmtId="178" formatCode="_(&quot;$&quot;* #,##0.00_);_(&quot;$&quot;* \(#,##0.00\);_(&quot;$&quot;* &quot;-&quot;??_);_(@_)"/>
    <numFmt numFmtId="179" formatCode="\U\S\$#,##0.00;\(\U\S\$#,##0.00\)"/>
    <numFmt numFmtId="180" formatCode="_ &quot;S/&quot;* #,##0_ ;_ &quot;S/&quot;* \-#,##0_ ;_ &quot;S/&quot;* &quot;-&quot;_ ;_ @_ "/>
    <numFmt numFmtId="181" formatCode="_ &quot;S/&quot;* #,##0.00_ ;_ &quot;S/&quot;* \-#,##0.00_ ;_ &quot;S/&quot;* &quot;-&quot;??_ ;_ @_ "/>
    <numFmt numFmtId="182" formatCode="\$#,##0\ ;\(\$#,##0\)"/>
    <numFmt numFmtId="183" formatCode="###,###,##0.00_);\(###,###,##0.00\)"/>
    <numFmt numFmtId="184" formatCode="_(* #,##0.00_);_(* \(#,##0.00\);_(* &quot;-&quot;??_);_(@_)"/>
    <numFmt numFmtId="185" formatCode="_(* #,##0_);_(* \(#,##0\);_(* &quot;-&quot;_);_(@_)"/>
    <numFmt numFmtId="186" formatCode="#,##0.000"/>
    <numFmt numFmtId="187" formatCode="mm/dd/yy"/>
    <numFmt numFmtId="188" formatCode="\+0.00%\+"/>
    <numFmt numFmtId="189" formatCode="0.00%\)"/>
    <numFmt numFmtId="190" formatCode="_-&quot;£&quot;* #,##0_-;\-&quot;£&quot;* #,##0_-;_-&quot;£&quot;* &quot;-&quot;_-;_-@_-"/>
    <numFmt numFmtId="191" formatCode="_-&quot;£&quot;* #,##0.00_-;\-&quot;£&quot;* #,##0.00_-;_-&quot;£&quot;* &quot;-&quot;??_-;_-@_-"/>
    <numFmt numFmtId="192" formatCode="_-* #,##0\ _D_M_-;\-* #,##0\ _D_M_-;_-* &quot;-&quot;\ _D_M_-;_-@_-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돋움"/>
      <charset val="129"/>
    </font>
    <font>
      <sz val="11"/>
      <name val="Times New Roman"/>
      <family val="1"/>
    </font>
    <font>
      <b/>
      <i/>
      <sz val="28"/>
      <color rgb="FF0000FF"/>
      <name val="Times New Roman"/>
      <family val="1"/>
    </font>
    <font>
      <b/>
      <sz val="22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sz val="6"/>
      <name val="Times New Roman"/>
      <family val="1"/>
    </font>
    <font>
      <sz val="10"/>
      <name val="Times New Roman"/>
      <family val="1"/>
    </font>
    <font>
      <vertAlign val="subscript"/>
      <sz val="10"/>
      <name val="Times New Roman"/>
      <family val="1"/>
    </font>
    <font>
      <b/>
      <sz val="9"/>
      <name val="Times New Roman"/>
      <family val="1"/>
    </font>
    <font>
      <sz val="14"/>
      <name val="Times New Roman"/>
      <family val="1"/>
    </font>
    <font>
      <b/>
      <sz val="16"/>
      <name val="Times New Roman"/>
      <family val="1"/>
    </font>
    <font>
      <b/>
      <sz val="18"/>
      <name val="Times New Roman"/>
      <family val="1"/>
    </font>
    <font>
      <sz val="11"/>
      <color indexed="55"/>
      <name val="Times New Roman"/>
      <family val="1"/>
    </font>
    <font>
      <sz val="12"/>
      <name val="Times New Roman"/>
      <family val="1"/>
    </font>
    <font>
      <sz val="10"/>
      <name val="Calibri"/>
      <family val="2"/>
    </font>
    <font>
      <sz val="11"/>
      <color indexed="22"/>
      <name val="Times New Roman"/>
      <family val="1"/>
    </font>
    <font>
      <sz val="11"/>
      <color indexed="10"/>
      <name val="Times New Roman"/>
      <family val="1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sz val="10"/>
      <name val="Arial"/>
      <family val="2"/>
    </font>
    <font>
      <sz val="10"/>
      <name val="Courier"/>
      <family val="3"/>
    </font>
    <font>
      <b/>
      <sz val="10"/>
      <name val="Helv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color indexed="8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sz val="10"/>
      <color indexed="22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1"/>
      <name val="Helv"/>
    </font>
    <font>
      <sz val="7"/>
      <name val="Small Fonts"/>
      <family val="2"/>
    </font>
    <font>
      <sz val="11"/>
      <name val="돋움"/>
      <family val="3"/>
      <charset val="129"/>
    </font>
    <font>
      <sz val="12"/>
      <name val="Arial"/>
      <family val="2"/>
    </font>
    <font>
      <sz val="12"/>
      <color indexed="8"/>
      <name val="Times New Roman"/>
      <family val="1"/>
    </font>
    <font>
      <sz val="8"/>
      <name val="Helv"/>
    </font>
    <font>
      <b/>
      <sz val="8"/>
      <color indexed="8"/>
      <name val="Helv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10"/>
      <color indexed="12"/>
      <name val="Arial"/>
      <family val="2"/>
    </font>
    <font>
      <sz val="11"/>
      <name val="明朝"/>
      <family val="1"/>
      <charset val="128"/>
    </font>
    <font>
      <b/>
      <sz val="14"/>
      <name val="Times New Roman"/>
      <family val="1"/>
    </font>
  </fonts>
  <fills count="3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5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174">
    <xf numFmtId="0" fontId="0" fillId="0" borderId="0"/>
    <xf numFmtId="0" fontId="2" fillId="0" borderId="0"/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70" fontId="26" fillId="0" borderId="0" applyFill="0" applyBorder="0" applyAlignment="0"/>
    <xf numFmtId="171" fontId="6" fillId="0" borderId="0" applyFill="0" applyBorder="0" applyAlignment="0"/>
    <xf numFmtId="168" fontId="6" fillId="0" borderId="0" applyFill="0" applyBorder="0" applyAlignment="0"/>
    <xf numFmtId="172" fontId="27" fillId="0" borderId="0" applyFill="0" applyBorder="0" applyAlignment="0"/>
    <xf numFmtId="173" fontId="27" fillId="0" borderId="0" applyFill="0" applyBorder="0" applyAlignment="0"/>
    <xf numFmtId="174" fontId="26" fillId="0" borderId="0" applyFill="0" applyBorder="0" applyAlignment="0"/>
    <xf numFmtId="175" fontId="26" fillId="0" borderId="0" applyFill="0" applyBorder="0" applyAlignment="0"/>
    <xf numFmtId="171" fontId="6" fillId="0" borderId="0" applyFill="0" applyBorder="0" applyAlignment="0"/>
    <xf numFmtId="0" fontId="28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6" fontId="11" fillId="0" borderId="0"/>
    <xf numFmtId="174" fontId="26" fillId="0" borderId="0" applyFont="0" applyFill="0" applyBorder="0" applyAlignment="0" applyProtection="0"/>
    <xf numFmtId="0" fontId="29" fillId="0" borderId="0"/>
    <xf numFmtId="0" fontId="30" fillId="0" borderId="0"/>
    <xf numFmtId="0" fontId="29" fillId="0" borderId="0"/>
    <xf numFmtId="0" fontId="30" fillId="0" borderId="0"/>
    <xf numFmtId="0" fontId="31" fillId="0" borderId="0" applyNumberFormat="0" applyAlignment="0">
      <alignment horizontal="left"/>
    </xf>
    <xf numFmtId="177" fontId="26" fillId="0" borderId="0">
      <alignment horizontal="center"/>
    </xf>
    <xf numFmtId="171" fontId="6" fillId="0" borderId="0" applyFont="0" applyFill="0" applyBorder="0" applyAlignment="0" applyProtection="0"/>
    <xf numFmtId="178" fontId="1" fillId="0" borderId="0" applyFont="0" applyFill="0" applyBorder="0" applyAlignment="0" applyProtection="0"/>
    <xf numFmtId="14" fontId="32" fillId="0" borderId="0" applyFill="0" applyBorder="0" applyAlignment="0"/>
    <xf numFmtId="179" fontId="26" fillId="0" borderId="43">
      <alignment vertical="center"/>
    </xf>
    <xf numFmtId="164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174" fontId="26" fillId="0" borderId="0" applyFill="0" applyBorder="0" applyAlignment="0"/>
    <xf numFmtId="171" fontId="6" fillId="0" borderId="0" applyFill="0" applyBorder="0" applyAlignment="0"/>
    <xf numFmtId="174" fontId="26" fillId="0" borderId="0" applyFill="0" applyBorder="0" applyAlignment="0"/>
    <xf numFmtId="175" fontId="26" fillId="0" borderId="0" applyFill="0" applyBorder="0" applyAlignment="0"/>
    <xf numFmtId="171" fontId="6" fillId="0" borderId="0" applyFill="0" applyBorder="0" applyAlignment="0"/>
    <xf numFmtId="0" fontId="35" fillId="0" borderId="0" applyNumberFormat="0" applyAlignment="0">
      <alignment horizontal="left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6" fillId="0" borderId="0" applyFont="0" applyFill="0" applyBorder="0" applyAlignment="0" applyProtection="0"/>
    <xf numFmtId="0" fontId="33" fillId="0" borderId="0">
      <protection locked="0"/>
    </xf>
    <xf numFmtId="0" fontId="33" fillId="0" borderId="0">
      <protection locked="0"/>
    </xf>
    <xf numFmtId="38" fontId="37" fillId="21" borderId="0" applyNumberFormat="0" applyBorder="0" applyAlignment="0" applyProtection="0"/>
    <xf numFmtId="0" fontId="38" fillId="0" borderId="0">
      <alignment horizontal="left"/>
    </xf>
    <xf numFmtId="0" fontId="39" fillId="0" borderId="44" applyNumberFormat="0" applyAlignment="0" applyProtection="0">
      <alignment horizontal="left" vertical="center"/>
    </xf>
    <xf numFmtId="0" fontId="39" fillId="0" borderId="8">
      <alignment horizontal="left" vertical="center"/>
    </xf>
    <xf numFmtId="10" fontId="37" fillId="21" borderId="5" applyNumberFormat="0" applyBorder="0" applyAlignment="0" applyProtection="0"/>
    <xf numFmtId="174" fontId="26" fillId="0" borderId="0" applyFill="0" applyBorder="0" applyAlignment="0"/>
    <xf numFmtId="171" fontId="6" fillId="0" borderId="0" applyFill="0" applyBorder="0" applyAlignment="0"/>
    <xf numFmtId="174" fontId="26" fillId="0" borderId="0" applyFill="0" applyBorder="0" applyAlignment="0"/>
    <xf numFmtId="175" fontId="26" fillId="0" borderId="0" applyFill="0" applyBorder="0" applyAlignment="0"/>
    <xf numFmtId="171" fontId="6" fillId="0" borderId="0" applyFill="0" applyBorder="0" applyAlignment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0" fillId="0" borderId="41"/>
    <xf numFmtId="180" fontId="26" fillId="0" borderId="0" applyFont="0" applyFill="0" applyBorder="0" applyAlignment="0" applyProtection="0"/>
    <xf numFmtId="181" fontId="26" fillId="0" borderId="0" applyFont="0" applyFill="0" applyBorder="0" applyAlignment="0" applyProtection="0"/>
    <xf numFmtId="0" fontId="33" fillId="0" borderId="0">
      <protection locked="0"/>
    </xf>
    <xf numFmtId="182" fontId="36" fillId="0" borderId="0" applyFont="0" applyFill="0" applyBorder="0" applyAlignment="0" applyProtection="0"/>
    <xf numFmtId="37" fontId="41" fillId="0" borderId="0"/>
    <xf numFmtId="183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42" fillId="0" borderId="0">
      <alignment vertical="center"/>
    </xf>
    <xf numFmtId="0" fontId="42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84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44" fillId="21" borderId="0"/>
    <xf numFmtId="173" fontId="27" fillId="0" borderId="0" applyFont="0" applyFill="0" applyBorder="0" applyAlignment="0" applyProtection="0"/>
    <xf numFmtId="186" fontId="26" fillId="0" borderId="0" applyFont="0" applyFill="0" applyBorder="0" applyAlignment="0" applyProtection="0"/>
    <xf numFmtId="1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33" fillId="0" borderId="0">
      <protection locked="0"/>
    </xf>
    <xf numFmtId="10" fontId="36" fillId="0" borderId="0" applyFont="0" applyFill="0" applyBorder="0" applyAlignment="0" applyProtection="0"/>
    <xf numFmtId="174" fontId="26" fillId="0" borderId="0" applyFill="0" applyBorder="0" applyAlignment="0"/>
    <xf numFmtId="171" fontId="6" fillId="0" borderId="0" applyFill="0" applyBorder="0" applyAlignment="0"/>
    <xf numFmtId="174" fontId="26" fillId="0" borderId="0" applyFill="0" applyBorder="0" applyAlignment="0"/>
    <xf numFmtId="175" fontId="26" fillId="0" borderId="0" applyFill="0" applyBorder="0" applyAlignment="0"/>
    <xf numFmtId="171" fontId="6" fillId="0" borderId="0" applyFill="0" applyBorder="0" applyAlignment="0"/>
    <xf numFmtId="3" fontId="36" fillId="0" borderId="0" applyFont="0" applyFill="0" applyBorder="0" applyAlignment="0" applyProtection="0"/>
    <xf numFmtId="187" fontId="45" fillId="0" borderId="0" applyNumberFormat="0" applyFill="0" applyBorder="0" applyAlignment="0" applyProtection="0">
      <alignment horizontal="left"/>
    </xf>
    <xf numFmtId="38" fontId="45" fillId="0" borderId="0"/>
    <xf numFmtId="0" fontId="40" fillId="0" borderId="0"/>
    <xf numFmtId="40" fontId="46" fillId="0" borderId="0" applyBorder="0">
      <alignment horizontal="right"/>
    </xf>
    <xf numFmtId="49" fontId="32" fillId="0" borderId="0" applyFill="0" applyBorder="0" applyAlignment="0"/>
    <xf numFmtId="188" fontId="26" fillId="0" borderId="0" applyFill="0" applyBorder="0" applyAlignment="0"/>
    <xf numFmtId="189" fontId="26" fillId="0" borderId="0" applyFill="0" applyBorder="0" applyAlignment="0"/>
    <xf numFmtId="0" fontId="27" fillId="0" borderId="0"/>
    <xf numFmtId="190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26" borderId="45" applyNumberFormat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3" fillId="27" borderId="46" applyNumberFormat="0" applyFont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29" borderId="47" applyNumberFormat="0" applyAlignment="0" applyProtection="0">
      <alignment vertical="center"/>
    </xf>
    <xf numFmtId="192" fontId="26" fillId="0" borderId="0" applyFont="0" applyFill="0" applyBorder="0" applyAlignment="0" applyProtection="0"/>
    <xf numFmtId="0" fontId="53" fillId="0" borderId="48" applyNumberFormat="0" applyFill="0" applyAlignment="0" applyProtection="0">
      <alignment vertical="center"/>
    </xf>
    <xf numFmtId="0" fontId="54" fillId="0" borderId="49" applyNumberFormat="0" applyFill="0" applyAlignment="0" applyProtection="0">
      <alignment vertical="center"/>
    </xf>
    <xf numFmtId="0" fontId="55" fillId="12" borderId="45" applyNumberForma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50" applyNumberFormat="0" applyFill="0" applyAlignment="0" applyProtection="0">
      <alignment vertical="center"/>
    </xf>
    <xf numFmtId="0" fontId="58" fillId="0" borderId="51" applyNumberFormat="0" applyFill="0" applyAlignment="0" applyProtection="0">
      <alignment vertical="center"/>
    </xf>
    <xf numFmtId="0" fontId="59" fillId="0" borderId="52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9" borderId="0" applyNumberFormat="0" applyBorder="0" applyAlignment="0" applyProtection="0">
      <alignment vertical="center"/>
    </xf>
    <xf numFmtId="0" fontId="61" fillId="26" borderId="53" applyNumberFormat="0" applyAlignment="0" applyProtection="0">
      <alignment vertical="center"/>
    </xf>
    <xf numFmtId="190" fontId="26" fillId="0" borderId="0" applyFont="0" applyFill="0" applyBorder="0" applyAlignment="0" applyProtection="0"/>
    <xf numFmtId="191" fontId="26" fillId="0" borderId="0" applyFont="0" applyFill="0" applyBorder="0" applyAlignment="0" applyProtection="0"/>
    <xf numFmtId="0" fontId="26" fillId="0" borderId="0"/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/>
  </cellStyleXfs>
  <cellXfs count="127">
    <xf numFmtId="0" fontId="0" fillId="0" borderId="0" xfId="0"/>
    <xf numFmtId="0" fontId="3" fillId="0" borderId="0" xfId="1" applyFont="1" applyAlignment="1">
      <alignment vertical="center"/>
    </xf>
    <xf numFmtId="0" fontId="3" fillId="0" borderId="11" xfId="1" applyFont="1" applyBorder="1" applyAlignment="1" applyProtection="1">
      <alignment horizontal="center" vertical="center" shrinkToFit="1"/>
      <protection locked="0"/>
    </xf>
    <xf numFmtId="0" fontId="3" fillId="0" borderId="14" xfId="1" applyFont="1" applyBorder="1" applyAlignment="1">
      <alignment vertical="center"/>
    </xf>
    <xf numFmtId="0" fontId="3" fillId="0" borderId="20" xfId="1" applyFont="1" applyBorder="1" applyAlignment="1">
      <alignment vertical="center"/>
    </xf>
    <xf numFmtId="0" fontId="3" fillId="0" borderId="21" xfId="1" applyFont="1" applyBorder="1" applyAlignment="1">
      <alignment vertical="center"/>
    </xf>
    <xf numFmtId="0" fontId="17" fillId="0" borderId="0" xfId="1" applyFont="1" applyAlignment="1">
      <alignment vertical="center"/>
    </xf>
    <xf numFmtId="0" fontId="3" fillId="0" borderId="28" xfId="1" applyFont="1" applyBorder="1" applyAlignment="1">
      <alignment vertical="center"/>
    </xf>
    <xf numFmtId="0" fontId="11" fillId="3" borderId="2" xfId="1" applyFont="1" applyFill="1" applyBorder="1" applyAlignment="1">
      <alignment horizontal="center" vertical="center"/>
    </xf>
    <xf numFmtId="0" fontId="11" fillId="3" borderId="31" xfId="1" applyFont="1" applyFill="1" applyBorder="1" applyAlignment="1">
      <alignment horizontal="center" vertical="center"/>
    </xf>
    <xf numFmtId="49" fontId="11" fillId="0" borderId="32" xfId="1" applyNumberFormat="1" applyFont="1" applyBorder="1" applyAlignment="1" applyProtection="1">
      <alignment horizontal="center" vertical="center" shrinkToFit="1"/>
      <protection locked="0"/>
    </xf>
    <xf numFmtId="49" fontId="11" fillId="0" borderId="20" xfId="1" applyNumberFormat="1" applyFont="1" applyBorder="1" applyAlignment="1" applyProtection="1">
      <alignment horizontal="center" vertical="center" shrinkToFit="1"/>
      <protection locked="0"/>
    </xf>
    <xf numFmtId="0" fontId="7" fillId="3" borderId="7" xfId="1" applyFont="1" applyFill="1" applyBorder="1" applyAlignment="1">
      <alignment horizontal="center" vertical="center"/>
    </xf>
    <xf numFmtId="2" fontId="18" fillId="0" borderId="5" xfId="1" applyNumberFormat="1" applyFont="1" applyBorder="1" applyAlignment="1" applyProtection="1">
      <alignment horizontal="center" vertical="center" shrinkToFit="1"/>
      <protection locked="0"/>
    </xf>
    <xf numFmtId="2" fontId="18" fillId="0" borderId="7" xfId="1" applyNumberFormat="1" applyFont="1" applyBorder="1" applyAlignment="1" applyProtection="1">
      <alignment horizontal="center" vertical="center" shrinkToFit="1"/>
      <protection locked="0"/>
    </xf>
    <xf numFmtId="169" fontId="6" fillId="4" borderId="35" xfId="1" applyNumberFormat="1" applyFont="1" applyFill="1" applyBorder="1" applyAlignment="1">
      <alignment horizontal="center" vertical="center" shrinkToFit="1"/>
    </xf>
    <xf numFmtId="169" fontId="6" fillId="4" borderId="36" xfId="1" applyNumberFormat="1" applyFont="1" applyFill="1" applyBorder="1" applyAlignment="1">
      <alignment horizontal="center" vertical="center" shrinkToFit="1"/>
    </xf>
    <xf numFmtId="2" fontId="6" fillId="4" borderId="11" xfId="1" applyNumberFormat="1" applyFont="1" applyFill="1" applyBorder="1" applyAlignment="1">
      <alignment horizontal="center" vertical="center" shrinkToFit="1"/>
    </xf>
    <xf numFmtId="2" fontId="6" fillId="4" borderId="39" xfId="1" applyNumberFormat="1" applyFont="1" applyFill="1" applyBorder="1" applyAlignment="1">
      <alignment horizontal="center" vertical="center" shrinkToFit="1"/>
    </xf>
    <xf numFmtId="0" fontId="3" fillId="0" borderId="40" xfId="1" applyFont="1" applyBorder="1" applyAlignment="1">
      <alignment vertical="center"/>
    </xf>
    <xf numFmtId="0" fontId="3" fillId="0" borderId="41" xfId="1" applyFont="1" applyBorder="1" applyAlignment="1">
      <alignment vertical="center"/>
    </xf>
    <xf numFmtId="0" fontId="3" fillId="0" borderId="42" xfId="1" applyFont="1" applyBorder="1" applyAlignment="1">
      <alignment vertical="center"/>
    </xf>
    <xf numFmtId="0" fontId="20" fillId="0" borderId="0" xfId="1" applyFont="1" applyAlignment="1">
      <alignment vertical="center"/>
    </xf>
    <xf numFmtId="0" fontId="20" fillId="0" borderId="5" xfId="1" applyFont="1" applyBorder="1" applyAlignment="1">
      <alignment vertical="center"/>
    </xf>
    <xf numFmtId="2" fontId="20" fillId="0" borderId="5" xfId="1" applyNumberFormat="1" applyFont="1" applyBorder="1" applyAlignment="1">
      <alignment vertical="center" shrinkToFit="1"/>
    </xf>
    <xf numFmtId="2" fontId="20" fillId="0" borderId="0" xfId="1" applyNumberFormat="1" applyFont="1" applyAlignment="1">
      <alignment vertical="center"/>
    </xf>
    <xf numFmtId="0" fontId="11" fillId="3" borderId="5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 shrinkToFit="1"/>
    </xf>
    <xf numFmtId="2" fontId="18" fillId="0" borderId="5" xfId="1" applyNumberFormat="1" applyFont="1" applyBorder="1" applyAlignment="1" applyProtection="1">
      <alignment horizontal="center"/>
      <protection locked="0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 shrinkToFit="1"/>
    </xf>
    <xf numFmtId="0" fontId="7" fillId="3" borderId="5" xfId="1" applyFont="1" applyFill="1" applyBorder="1" applyAlignment="1">
      <alignment horizontal="center" vertical="center" shrinkToFit="1"/>
    </xf>
    <xf numFmtId="0" fontId="3" fillId="0" borderId="5" xfId="1" applyFont="1" applyBorder="1" applyAlignment="1" applyProtection="1">
      <alignment horizontal="center" vertical="center" shrinkToFit="1"/>
      <protection locked="0"/>
    </xf>
    <xf numFmtId="0" fontId="7" fillId="3" borderId="5" xfId="1" applyFont="1" applyFill="1" applyBorder="1" applyAlignment="1">
      <alignment horizontal="center" vertical="center" wrapText="1" shrinkToFit="1"/>
    </xf>
    <xf numFmtId="14" fontId="3" fillId="0" borderId="5" xfId="1" applyNumberFormat="1" applyFont="1" applyBorder="1" applyAlignment="1" applyProtection="1">
      <alignment horizontal="center" vertical="center"/>
      <protection locked="0"/>
    </xf>
    <xf numFmtId="0" fontId="3" fillId="0" borderId="5" xfId="1" applyFont="1" applyBorder="1" applyAlignment="1" applyProtection="1">
      <alignment horizontal="center" vertical="center"/>
      <protection locked="0"/>
    </xf>
    <xf numFmtId="0" fontId="3" fillId="0" borderId="6" xfId="1" applyFont="1" applyBorder="1" applyAlignment="1" applyProtection="1">
      <alignment horizontal="center" vertical="center"/>
      <protection locked="0"/>
    </xf>
    <xf numFmtId="0" fontId="7" fillId="3" borderId="7" xfId="1" applyFont="1" applyFill="1" applyBorder="1" applyAlignment="1">
      <alignment horizontal="center" vertical="center" wrapText="1" shrinkToFit="1"/>
    </xf>
    <xf numFmtId="0" fontId="7" fillId="3" borderId="8" xfId="1" applyFont="1" applyFill="1" applyBorder="1" applyAlignment="1">
      <alignment horizontal="center" vertical="center" wrapText="1" shrinkToFit="1"/>
    </xf>
    <xf numFmtId="0" fontId="7" fillId="3" borderId="9" xfId="1" applyFont="1" applyFill="1" applyBorder="1" applyAlignment="1">
      <alignment horizontal="center" vertical="center" wrapText="1" shrinkToFit="1"/>
    </xf>
    <xf numFmtId="0" fontId="3" fillId="0" borderId="11" xfId="1" applyFont="1" applyBorder="1" applyAlignment="1" applyProtection="1">
      <alignment horizontal="center" vertical="center" shrinkToFit="1"/>
      <protection locked="0"/>
    </xf>
    <xf numFmtId="0" fontId="7" fillId="3" borderId="11" xfId="1" applyFont="1" applyFill="1" applyBorder="1" applyAlignment="1">
      <alignment horizontal="center" vertical="center" wrapText="1" shrinkToFit="1"/>
    </xf>
    <xf numFmtId="0" fontId="3" fillId="0" borderId="11" xfId="1" applyFont="1" applyBorder="1" applyAlignment="1" applyProtection="1">
      <alignment horizontal="center" vertical="center"/>
      <protection locked="0"/>
    </xf>
    <xf numFmtId="0" fontId="3" fillId="0" borderId="12" xfId="1" applyFont="1" applyBorder="1" applyAlignment="1" applyProtection="1">
      <alignment horizontal="center" vertical="center"/>
      <protection locked="0"/>
    </xf>
    <xf numFmtId="0" fontId="7" fillId="0" borderId="13" xfId="1" applyFont="1" applyBorder="1" applyAlignment="1">
      <alignment horizontal="center" vertical="center" textRotation="255" wrapText="1" shrinkToFit="1"/>
    </xf>
    <xf numFmtId="0" fontId="7" fillId="0" borderId="18" xfId="1" applyFont="1" applyBorder="1" applyAlignment="1">
      <alignment horizontal="center" vertical="center" textRotation="255" wrapText="1" shrinkToFit="1"/>
    </xf>
    <xf numFmtId="0" fontId="8" fillId="2" borderId="15" xfId="1" applyFont="1" applyFill="1" applyBorder="1" applyAlignment="1">
      <alignment horizontal="center" vertical="center"/>
    </xf>
    <xf numFmtId="0" fontId="8" fillId="2" borderId="16" xfId="1" applyFont="1" applyFill="1" applyBorder="1" applyAlignment="1">
      <alignment horizontal="center" vertical="center"/>
    </xf>
    <xf numFmtId="0" fontId="8" fillId="2" borderId="17" xfId="1" applyFont="1" applyFill="1" applyBorder="1" applyAlignment="1">
      <alignment horizontal="center" vertical="center"/>
    </xf>
    <xf numFmtId="0" fontId="9" fillId="3" borderId="5" xfId="1" applyFont="1" applyFill="1" applyBorder="1" applyAlignment="1">
      <alignment horizontal="center" vertical="center" textRotation="255" wrapText="1"/>
    </xf>
    <xf numFmtId="0" fontId="10" fillId="3" borderId="5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/>
    </xf>
    <xf numFmtId="0" fontId="7" fillId="3" borderId="10" xfId="1" applyFont="1" applyFill="1" applyBorder="1" applyAlignment="1">
      <alignment horizontal="center" vertical="center" shrinkToFit="1"/>
    </xf>
    <xf numFmtId="0" fontId="7" fillId="3" borderId="11" xfId="1" applyFont="1" applyFill="1" applyBorder="1" applyAlignment="1">
      <alignment horizontal="center" vertical="center" shrinkToFit="1"/>
    </xf>
    <xf numFmtId="0" fontId="13" fillId="3" borderId="5" xfId="1" applyFont="1" applyFill="1" applyBorder="1" applyAlignment="1">
      <alignment horizontal="center" vertical="center"/>
    </xf>
    <xf numFmtId="0" fontId="11" fillId="3" borderId="5" xfId="1" applyFont="1" applyFill="1" applyBorder="1" applyAlignment="1">
      <alignment horizontal="center" vertical="center" textRotation="255"/>
    </xf>
    <xf numFmtId="0" fontId="11" fillId="4" borderId="5" xfId="1" applyFont="1" applyFill="1" applyBorder="1" applyAlignment="1">
      <alignment horizontal="center" vertical="center"/>
    </xf>
    <xf numFmtId="0" fontId="11" fillId="4" borderId="5" xfId="1" applyFont="1" applyFill="1" applyBorder="1" applyAlignment="1">
      <alignment horizontal="center" vertical="center" shrinkToFit="1"/>
    </xf>
    <xf numFmtId="166" fontId="11" fillId="4" borderId="5" xfId="1" applyNumberFormat="1" applyFont="1" applyFill="1" applyBorder="1" applyAlignment="1">
      <alignment vertical="center"/>
    </xf>
    <xf numFmtId="168" fontId="11" fillId="4" borderId="7" xfId="1" applyNumberFormat="1" applyFont="1" applyFill="1" applyBorder="1" applyAlignment="1" applyProtection="1">
      <alignment horizontal="center" vertical="center"/>
      <protection locked="0"/>
    </xf>
    <xf numFmtId="168" fontId="11" fillId="4" borderId="8" xfId="1" applyNumberFormat="1" applyFont="1" applyFill="1" applyBorder="1" applyAlignment="1" applyProtection="1">
      <alignment horizontal="center" vertical="center"/>
      <protection locked="0"/>
    </xf>
    <xf numFmtId="168" fontId="11" fillId="4" borderId="23" xfId="1" applyNumberFormat="1" applyFont="1" applyFill="1" applyBorder="1" applyAlignment="1" applyProtection="1">
      <alignment horizontal="center" vertical="center"/>
      <protection locked="0"/>
    </xf>
    <xf numFmtId="167" fontId="11" fillId="3" borderId="22" xfId="1" applyNumberFormat="1" applyFont="1" applyFill="1" applyBorder="1" applyAlignment="1">
      <alignment horizontal="center" vertical="center"/>
    </xf>
    <xf numFmtId="167" fontId="11" fillId="3" borderId="9" xfId="1" applyNumberFormat="1" applyFont="1" applyFill="1" applyBorder="1" applyAlignment="1">
      <alignment horizontal="center" vertical="center"/>
    </xf>
    <xf numFmtId="167" fontId="6" fillId="3" borderId="7" xfId="1" applyNumberFormat="1" applyFont="1" applyFill="1" applyBorder="1" applyAlignment="1">
      <alignment horizontal="center" vertical="center"/>
    </xf>
    <xf numFmtId="167" fontId="6" fillId="3" borderId="8" xfId="1" applyNumberFormat="1" applyFont="1" applyFill="1" applyBorder="1" applyAlignment="1">
      <alignment horizontal="center" vertical="center"/>
    </xf>
    <xf numFmtId="167" fontId="6" fillId="3" borderId="9" xfId="1" applyNumberFormat="1" applyFont="1" applyFill="1" applyBorder="1" applyAlignment="1">
      <alignment horizontal="center" vertical="center"/>
    </xf>
    <xf numFmtId="167" fontId="11" fillId="3" borderId="7" xfId="1" applyNumberFormat="1" applyFont="1" applyFill="1" applyBorder="1" applyAlignment="1">
      <alignment horizontal="center" vertical="center"/>
    </xf>
    <xf numFmtId="167" fontId="11" fillId="3" borderId="8" xfId="1" applyNumberFormat="1" applyFont="1" applyFill="1" applyBorder="1" applyAlignment="1">
      <alignment horizontal="center" vertical="center"/>
    </xf>
    <xf numFmtId="168" fontId="11" fillId="4" borderId="7" xfId="1" applyNumberFormat="1" applyFont="1" applyFill="1" applyBorder="1" applyAlignment="1">
      <alignment horizontal="center" vertical="center"/>
    </xf>
    <xf numFmtId="168" fontId="11" fillId="4" borderId="8" xfId="1" applyNumberFormat="1" applyFont="1" applyFill="1" applyBorder="1" applyAlignment="1">
      <alignment horizontal="center" vertical="center"/>
    </xf>
    <xf numFmtId="168" fontId="11" fillId="4" borderId="23" xfId="1" applyNumberFormat="1" applyFont="1" applyFill="1" applyBorder="1" applyAlignment="1">
      <alignment horizontal="center" vertical="center"/>
    </xf>
    <xf numFmtId="167" fontId="15" fillId="3" borderId="24" xfId="1" applyNumberFormat="1" applyFont="1" applyFill="1" applyBorder="1" applyAlignment="1">
      <alignment horizontal="center" vertical="center"/>
    </xf>
    <xf numFmtId="167" fontId="15" fillId="3" borderId="25" xfId="1" applyNumberFormat="1" applyFont="1" applyFill="1" applyBorder="1" applyAlignment="1">
      <alignment horizontal="center" vertical="center"/>
    </xf>
    <xf numFmtId="167" fontId="11" fillId="3" borderId="20" xfId="1" applyNumberFormat="1" applyFont="1" applyFill="1" applyBorder="1" applyAlignment="1">
      <alignment horizontal="center" vertical="center"/>
    </xf>
    <xf numFmtId="167" fontId="11" fillId="3" borderId="21" xfId="1" applyNumberFormat="1" applyFont="1" applyFill="1" applyBorder="1" applyAlignment="1">
      <alignment horizontal="center" vertical="center"/>
    </xf>
    <xf numFmtId="167" fontId="11" fillId="3" borderId="25" xfId="1" applyNumberFormat="1" applyFont="1" applyFill="1" applyBorder="1" applyAlignment="1">
      <alignment horizontal="center" vertical="center"/>
    </xf>
    <xf numFmtId="2" fontId="16" fillId="5" borderId="20" xfId="1" applyNumberFormat="1" applyFont="1" applyFill="1" applyBorder="1" applyAlignment="1">
      <alignment horizontal="center" vertical="center"/>
    </xf>
    <xf numFmtId="2" fontId="16" fillId="5" borderId="21" xfId="1" applyNumberFormat="1" applyFont="1" applyFill="1" applyBorder="1" applyAlignment="1">
      <alignment horizontal="center" vertical="center"/>
    </xf>
    <xf numFmtId="2" fontId="16" fillId="5" borderId="26" xfId="1" applyNumberFormat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16" fillId="6" borderId="4" xfId="1" applyFont="1" applyFill="1" applyBorder="1" applyAlignment="1">
      <alignment horizontal="center" vertical="center"/>
    </xf>
    <xf numFmtId="0" fontId="16" fillId="6" borderId="5" xfId="1" applyFont="1" applyFill="1" applyBorder="1" applyAlignment="1">
      <alignment horizontal="center" vertical="center"/>
    </xf>
    <xf numFmtId="0" fontId="16" fillId="6" borderId="6" xfId="1" applyFont="1" applyFill="1" applyBorder="1" applyAlignment="1">
      <alignment horizontal="center" vertical="center"/>
    </xf>
    <xf numFmtId="0" fontId="7" fillId="3" borderId="29" xfId="1" applyFont="1" applyFill="1" applyBorder="1" applyAlignment="1">
      <alignment horizontal="center" vertical="center"/>
    </xf>
    <xf numFmtId="0" fontId="7" fillId="3" borderId="30" xfId="1" applyFont="1" applyFill="1" applyBorder="1" applyAlignment="1">
      <alignment horizontal="center" vertical="center"/>
    </xf>
    <xf numFmtId="0" fontId="7" fillId="3" borderId="22" xfId="1" applyFont="1" applyFill="1" applyBorder="1" applyAlignment="1">
      <alignment horizontal="center" vertical="center"/>
    </xf>
    <xf numFmtId="0" fontId="7" fillId="3" borderId="8" xfId="1" applyFont="1" applyFill="1" applyBorder="1" applyAlignment="1">
      <alignment horizontal="center" vertical="center"/>
    </xf>
    <xf numFmtId="0" fontId="7" fillId="3" borderId="33" xfId="1" applyFont="1" applyFill="1" applyBorder="1" applyAlignment="1">
      <alignment horizontal="center" vertical="center" textRotation="255"/>
    </xf>
    <xf numFmtId="0" fontId="8" fillId="2" borderId="33" xfId="1" applyFont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2" borderId="34" xfId="1" applyFont="1" applyFill="1" applyBorder="1" applyAlignment="1">
      <alignment horizontal="center" vertical="center"/>
    </xf>
    <xf numFmtId="0" fontId="7" fillId="3" borderId="4" xfId="1" applyFont="1" applyFill="1" applyBorder="1" applyAlignment="1">
      <alignment horizontal="center" vertical="center"/>
    </xf>
    <xf numFmtId="0" fontId="7" fillId="3" borderId="5" xfId="1" applyFont="1" applyFill="1" applyBorder="1" applyAlignment="1">
      <alignment horizontal="center" vertical="center"/>
    </xf>
    <xf numFmtId="0" fontId="7" fillId="0" borderId="19" xfId="1" applyFont="1" applyBorder="1" applyAlignment="1">
      <alignment horizontal="center" vertical="center" textRotation="255" wrapText="1" shrinkToFit="1"/>
    </xf>
    <xf numFmtId="0" fontId="7" fillId="0" borderId="27" xfId="1" applyFont="1" applyBorder="1" applyAlignment="1">
      <alignment horizontal="center" vertical="center" textRotation="255" wrapText="1" shrinkToFit="1"/>
    </xf>
    <xf numFmtId="0" fontId="8" fillId="2" borderId="15" xfId="1" applyFont="1" applyFill="1" applyBorder="1" applyAlignment="1">
      <alignment horizontal="center" vertical="center" shrinkToFit="1"/>
    </xf>
    <xf numFmtId="0" fontId="8" fillId="2" borderId="16" xfId="1" applyFont="1" applyFill="1" applyBorder="1" applyAlignment="1">
      <alignment horizontal="center" vertical="center" shrinkToFit="1"/>
    </xf>
    <xf numFmtId="0" fontId="8" fillId="2" borderId="17" xfId="1" applyFont="1" applyFill="1" applyBorder="1" applyAlignment="1">
      <alignment horizontal="center" vertical="center" shrinkToFit="1"/>
    </xf>
    <xf numFmtId="0" fontId="14" fillId="3" borderId="22" xfId="1" applyFont="1" applyFill="1" applyBorder="1" applyAlignment="1">
      <alignment horizontal="center" vertical="center"/>
    </xf>
    <xf numFmtId="0" fontId="14" fillId="3" borderId="9" xfId="1" applyFont="1" applyFill="1" applyBorder="1" applyAlignment="1">
      <alignment horizontal="center" vertical="center"/>
    </xf>
    <xf numFmtId="167" fontId="10" fillId="3" borderId="7" xfId="1" applyNumberFormat="1" applyFont="1" applyFill="1" applyBorder="1" applyAlignment="1">
      <alignment horizontal="center" vertical="center" wrapText="1" shrinkToFit="1"/>
    </xf>
    <xf numFmtId="167" fontId="10" fillId="3" borderId="8" xfId="1" applyNumberFormat="1" applyFont="1" applyFill="1" applyBorder="1" applyAlignment="1">
      <alignment horizontal="center" vertical="center" wrapText="1" shrinkToFit="1"/>
    </xf>
    <xf numFmtId="167" fontId="10" fillId="3" borderId="9" xfId="1" applyNumberFormat="1" applyFont="1" applyFill="1" applyBorder="1" applyAlignment="1">
      <alignment horizontal="center" vertical="center" wrapText="1" shrinkToFit="1"/>
    </xf>
    <xf numFmtId="0" fontId="7" fillId="3" borderId="37" xfId="1" applyFont="1" applyFill="1" applyBorder="1" applyAlignment="1">
      <alignment horizontal="center" vertical="center"/>
    </xf>
    <xf numFmtId="0" fontId="7" fillId="3" borderId="38" xfId="1" applyFont="1" applyFill="1" applyBorder="1" applyAlignment="1">
      <alignment horizontal="center" vertical="center"/>
    </xf>
    <xf numFmtId="0" fontId="20" fillId="0" borderId="5" xfId="1" applyFont="1" applyBorder="1" applyAlignment="1">
      <alignment horizontal="center" vertical="center"/>
    </xf>
    <xf numFmtId="2" fontId="20" fillId="0" borderId="5" xfId="1" applyNumberFormat="1" applyFont="1" applyBorder="1" applyAlignment="1">
      <alignment horizontal="center" vertical="center" shrinkToFit="1"/>
    </xf>
    <xf numFmtId="0" fontId="7" fillId="3" borderId="6" xfId="1" applyFont="1" applyFill="1" applyBorder="1" applyAlignment="1">
      <alignment horizontal="center" vertical="center"/>
    </xf>
    <xf numFmtId="0" fontId="11" fillId="4" borderId="4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167" fontId="3" fillId="3" borderId="7" xfId="1" applyNumberFormat="1" applyFont="1" applyFill="1" applyBorder="1" applyAlignment="1">
      <alignment horizontal="center" vertical="center" wrapText="1" shrinkToFit="1"/>
    </xf>
    <xf numFmtId="167" fontId="3" fillId="3" borderId="8" xfId="1" applyNumberFormat="1" applyFont="1" applyFill="1" applyBorder="1" applyAlignment="1">
      <alignment horizontal="center" vertical="center" wrapText="1" shrinkToFit="1"/>
    </xf>
    <xf numFmtId="167" fontId="3" fillId="3" borderId="9" xfId="1" applyNumberFormat="1" applyFont="1" applyFill="1" applyBorder="1" applyAlignment="1">
      <alignment horizontal="center" vertical="center" wrapText="1" shrinkToFit="1"/>
    </xf>
    <xf numFmtId="168" fontId="0" fillId="0" borderId="0" xfId="0" applyNumberFormat="1"/>
  </cellXfs>
  <cellStyles count="174">
    <cellStyle name="20% - 강조색1" xfId="2"/>
    <cellStyle name="20% - 강조색2" xfId="3"/>
    <cellStyle name="20% - 강조색3" xfId="4"/>
    <cellStyle name="20% - 강조색4" xfId="5"/>
    <cellStyle name="20% - 강조색5" xfId="6"/>
    <cellStyle name="20% - 강조색6" xfId="7"/>
    <cellStyle name="40% - 강조색1" xfId="8"/>
    <cellStyle name="40% - 강조색2" xfId="9"/>
    <cellStyle name="40% - 강조색3" xfId="10"/>
    <cellStyle name="40% - 강조색4" xfId="11"/>
    <cellStyle name="40% - 강조색5" xfId="12"/>
    <cellStyle name="40% - 강조색6" xfId="13"/>
    <cellStyle name="60% - 강조색1" xfId="14"/>
    <cellStyle name="60% - 강조색2" xfId="15"/>
    <cellStyle name="60% - 강조색3" xfId="16"/>
    <cellStyle name="60% - 강조색4" xfId="17"/>
    <cellStyle name="60% - 강조색5" xfId="18"/>
    <cellStyle name="60% - 강조색6" xfId="19"/>
    <cellStyle name="Cabecera 1" xfId="20"/>
    <cellStyle name="Cabecera 2" xfId="21"/>
    <cellStyle name="Calc Currency (0)" xfId="22"/>
    <cellStyle name="Calc Currency (2)" xfId="23"/>
    <cellStyle name="Calc Percent (0)" xfId="24"/>
    <cellStyle name="Calc Percent (1)" xfId="25"/>
    <cellStyle name="Calc Percent (2)" xfId="26"/>
    <cellStyle name="Calc Units (0)" xfId="27"/>
    <cellStyle name="Calc Units (1)" xfId="28"/>
    <cellStyle name="Calc Units (2)" xfId="29"/>
    <cellStyle name="category" xfId="30"/>
    <cellStyle name="Comma  - Style1" xfId="31"/>
    <cellStyle name="Comma  - Style2" xfId="32"/>
    <cellStyle name="Comma  - Style3" xfId="33"/>
    <cellStyle name="Comma  - Style4" xfId="34"/>
    <cellStyle name="Comma  - Style5" xfId="35"/>
    <cellStyle name="Comma  - Style6" xfId="36"/>
    <cellStyle name="Comma  - Style7" xfId="37"/>
    <cellStyle name="Comma  - Style8" xfId="38"/>
    <cellStyle name="Comma [00]" xfId="39"/>
    <cellStyle name="Comma0 - Modelo1" xfId="40"/>
    <cellStyle name="Comma0 - Style1" xfId="41"/>
    <cellStyle name="Comma1 - Modelo2" xfId="42"/>
    <cellStyle name="Comma1 - Style2" xfId="43"/>
    <cellStyle name="Copied" xfId="44"/>
    <cellStyle name="Currency $" xfId="45"/>
    <cellStyle name="Currency [00]" xfId="46"/>
    <cellStyle name="Currency 2" xfId="47"/>
    <cellStyle name="Date Short" xfId="48"/>
    <cellStyle name="DELTA" xfId="49"/>
    <cellStyle name="Dezimal [0]_CAR" xfId="50"/>
    <cellStyle name="Dezimal_CAR" xfId="51"/>
    <cellStyle name="Dia" xfId="52"/>
    <cellStyle name="Encabez1" xfId="53"/>
    <cellStyle name="Encabez2" xfId="54"/>
    <cellStyle name="Enter Currency (0)" xfId="55"/>
    <cellStyle name="Enter Currency (2)" xfId="56"/>
    <cellStyle name="Enter Units (0)" xfId="57"/>
    <cellStyle name="Enter Units (1)" xfId="58"/>
    <cellStyle name="Enter Units (2)" xfId="59"/>
    <cellStyle name="Entered" xfId="60"/>
    <cellStyle name="F2" xfId="61"/>
    <cellStyle name="F3" xfId="62"/>
    <cellStyle name="F4" xfId="63"/>
    <cellStyle name="F5" xfId="64"/>
    <cellStyle name="F6" xfId="65"/>
    <cellStyle name="F7" xfId="66"/>
    <cellStyle name="F8" xfId="67"/>
    <cellStyle name="Fecha" xfId="68"/>
    <cellStyle name="Fijo" xfId="69"/>
    <cellStyle name="Financiero" xfId="70"/>
    <cellStyle name="Grey" xfId="71"/>
    <cellStyle name="HEADER" xfId="72"/>
    <cellStyle name="Header1" xfId="73"/>
    <cellStyle name="Header2" xfId="74"/>
    <cellStyle name="Input [yellow]" xfId="75"/>
    <cellStyle name="Link Currency (0)" xfId="76"/>
    <cellStyle name="Link Currency (2)" xfId="77"/>
    <cellStyle name="Link Units (0)" xfId="78"/>
    <cellStyle name="Link Units (1)" xfId="79"/>
    <cellStyle name="Link Units (2)" xfId="80"/>
    <cellStyle name="Millares [0]_10 AVERIAS MASIVAS + ANT" xfId="81"/>
    <cellStyle name="Millares_10 AVERIAS MASIVAS + ANT" xfId="82"/>
    <cellStyle name="Model" xfId="83"/>
    <cellStyle name="Moneda [0]_10 AVERIAS MASIVAS + ANT" xfId="84"/>
    <cellStyle name="Moneda_10 AVERIAS MASIVAS + ANT" xfId="85"/>
    <cellStyle name="Monetario" xfId="86"/>
    <cellStyle name="Monetario0" xfId="87"/>
    <cellStyle name="no dec" xfId="88"/>
    <cellStyle name="Normal" xfId="0" builtinId="0"/>
    <cellStyle name="Normal - Style1" xfId="89"/>
    <cellStyle name="Normal 10" xfId="90"/>
    <cellStyle name="Normal 11" xfId="91"/>
    <cellStyle name="Normal 12" xfId="92"/>
    <cellStyle name="Normal 12 2" xfId="93"/>
    <cellStyle name="Normal 13" xfId="94"/>
    <cellStyle name="Normal 14" xfId="95"/>
    <cellStyle name="Normal 15" xfId="96"/>
    <cellStyle name="Normal 16" xfId="97"/>
    <cellStyle name="Normal 17" xfId="1"/>
    <cellStyle name="Normal 2" xfId="98"/>
    <cellStyle name="Normal 2 2" xfId="99"/>
    <cellStyle name="Normal 2 2 2" xfId="100"/>
    <cellStyle name="Normal 2 3" xfId="101"/>
    <cellStyle name="Normal 2 3 2" xfId="102"/>
    <cellStyle name="Normal 2 4" xfId="103"/>
    <cellStyle name="Normal 2 5" xfId="104"/>
    <cellStyle name="Normal 2 6" xfId="105"/>
    <cellStyle name="Normal 3" xfId="106"/>
    <cellStyle name="Normal 3 2" xfId="107"/>
    <cellStyle name="Normal 3 3" xfId="108"/>
    <cellStyle name="Normal 3 4" xfId="109"/>
    <cellStyle name="Normal 3 5" xfId="110"/>
    <cellStyle name="Normal 3 6" xfId="111"/>
    <cellStyle name="Normal 3 7" xfId="112"/>
    <cellStyle name="Normal 4" xfId="113"/>
    <cellStyle name="Normal 4 2" xfId="114"/>
    <cellStyle name="Normal 5" xfId="115"/>
    <cellStyle name="Normal 6" xfId="116"/>
    <cellStyle name="Normal 7" xfId="117"/>
    <cellStyle name="Normal 8" xfId="118"/>
    <cellStyle name="Normal 9" xfId="119"/>
    <cellStyle name="Œ…‹æØ‚è [0.00]_laroux" xfId="120"/>
    <cellStyle name="Œ…‹æØ‚è_laroux" xfId="121"/>
    <cellStyle name="paint" xfId="122"/>
    <cellStyle name="Percent [0]" xfId="123"/>
    <cellStyle name="Percent [00]" xfId="124"/>
    <cellStyle name="Percent [2]" xfId="125"/>
    <cellStyle name="Percent 2" xfId="126"/>
    <cellStyle name="Porcentaje" xfId="127"/>
    <cellStyle name="Porcentual_DIM" xfId="128"/>
    <cellStyle name="PrePop Currency (0)" xfId="129"/>
    <cellStyle name="PrePop Currency (2)" xfId="130"/>
    <cellStyle name="PrePop Units (0)" xfId="131"/>
    <cellStyle name="PrePop Units (1)" xfId="132"/>
    <cellStyle name="PrePop Units (2)" xfId="133"/>
    <cellStyle name="Punto0" xfId="134"/>
    <cellStyle name="RevList" xfId="135"/>
    <cellStyle name="RM" xfId="136"/>
    <cellStyle name="subhead" xfId="137"/>
    <cellStyle name="Subtotal" xfId="138"/>
    <cellStyle name="Text Indent A" xfId="139"/>
    <cellStyle name="Text Indent B" xfId="140"/>
    <cellStyle name="Text Indent C" xfId="141"/>
    <cellStyle name="Undefiniert" xfId="142"/>
    <cellStyle name="Währung [0]_CAR" xfId="143"/>
    <cellStyle name="Währung_CAR" xfId="144"/>
    <cellStyle name="강조색1" xfId="145"/>
    <cellStyle name="강조색2" xfId="146"/>
    <cellStyle name="강조색3" xfId="147"/>
    <cellStyle name="강조색4" xfId="148"/>
    <cellStyle name="강조색5" xfId="149"/>
    <cellStyle name="강조색6" xfId="150"/>
    <cellStyle name="경고문" xfId="151"/>
    <cellStyle name="계산" xfId="152"/>
    <cellStyle name="나쁨" xfId="153"/>
    <cellStyle name="메모" xfId="154"/>
    <cellStyle name="보통" xfId="155"/>
    <cellStyle name="설명 텍스트" xfId="156"/>
    <cellStyle name="셀 확인" xfId="157"/>
    <cellStyle name="쉼표 [0]_인도수출 포장 사양" xfId="158"/>
    <cellStyle name="연결된 셀" xfId="159"/>
    <cellStyle name="요약" xfId="160"/>
    <cellStyle name="입력" xfId="161"/>
    <cellStyle name="제목" xfId="162"/>
    <cellStyle name="제목 1" xfId="163"/>
    <cellStyle name="제목 2" xfId="164"/>
    <cellStyle name="제목 3" xfId="165"/>
    <cellStyle name="제목 4" xfId="166"/>
    <cellStyle name="좋음" xfId="167"/>
    <cellStyle name="출력" xfId="168"/>
    <cellStyle name="통화 [0]_PROBLEM HISTORY CARD.xls Chart 1" xfId="169"/>
    <cellStyle name="통화_PROBLEM HISTORY CARD.xls Chart 1" xfId="170"/>
    <cellStyle name="표준_Packing_format_for_RBDI 081209" xfId="171"/>
    <cellStyle name="하이퍼링크_Packing_format_for_RBDI" xfId="172"/>
    <cellStyle name="標準_ NO.1 " xfId="17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10" Type="http://schemas.openxmlformats.org/officeDocument/2006/relationships/externalLink" Target="externalLinks/externalLink7.xml"/><Relationship Id="rId19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6.0381355932203423E-2"/>
          <c:y val="6.9444758412717078E-2"/>
          <c:w val="0.93220338983050632"/>
          <c:h val="0.77882397053310004"/>
        </c:manualLayout>
      </c:layout>
      <c:lineChart>
        <c:grouping val="standard"/>
        <c:ser>
          <c:idx val="1"/>
          <c:order val="0"/>
          <c:tx>
            <c:v>UCL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Ppk!$C$42:$AA$42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FF-42DB-A1DE-B82B21B678B7}"/>
            </c:ext>
          </c:extLst>
        </c:ser>
        <c:ser>
          <c:idx val="2"/>
          <c:order val="1"/>
          <c:tx>
            <c:v>CL</c:v>
          </c:tx>
          <c:spPr>
            <a:ln w="15875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Ppk!$C$43:$AA$43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FF-42DB-A1DE-B82B21B678B7}"/>
            </c:ext>
          </c:extLst>
        </c:ser>
        <c:ser>
          <c:idx val="3"/>
          <c:order val="2"/>
          <c:tx>
            <c:v>LCL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Ppk!$C$44:$AA$44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F7FF-42DB-A1DE-B82B21B678B7}"/>
            </c:ext>
          </c:extLst>
        </c:ser>
        <c:ser>
          <c:idx val="0"/>
          <c:order val="3"/>
          <c:tx>
            <c:v>Xbar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Ppk!$C$38:$AA$38</c:f>
              <c:numCache>
                <c:formatCode>0.00_ 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7FF-42DB-A1DE-B82B21B678B7}"/>
            </c:ext>
          </c:extLst>
        </c:ser>
        <c:dLbls/>
        <c:marker val="1"/>
        <c:axId val="103718912"/>
        <c:axId val="103720448"/>
      </c:lineChart>
      <c:catAx>
        <c:axId val="103718912"/>
        <c:scaling>
          <c:orientation val="minMax"/>
        </c:scaling>
        <c:axPos val="b"/>
        <c:numFmt formatCode="@" sourceLinked="1"/>
        <c:majorTickMark val="cross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03720448"/>
        <c:crosses val="autoZero"/>
        <c:auto val="1"/>
        <c:lblAlgn val="ctr"/>
        <c:lblOffset val="100"/>
        <c:tickLblSkip val="1"/>
        <c:tickMarkSkip val="1"/>
      </c:catAx>
      <c:valAx>
        <c:axId val="103720448"/>
        <c:scaling>
          <c:orientation val="minMax"/>
        </c:scaling>
        <c:axPos val="l"/>
        <c:numFmt formatCode="0.00" sourceLinked="1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0371891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7203389830508732E-2"/>
          <c:y val="6.7873303167420809E-2"/>
          <c:w val="0.93538135593220073"/>
          <c:h val="0.82894756576480566"/>
        </c:manualLayout>
      </c:layout>
      <c:lineChart>
        <c:grouping val="standard"/>
        <c:ser>
          <c:idx val="1"/>
          <c:order val="0"/>
          <c:tx>
            <c:v>UCL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Ppk!$C$45:$AA$45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D5C-4932-BB75-B00BBF6B3B5A}"/>
            </c:ext>
          </c:extLst>
        </c:ser>
        <c:ser>
          <c:idx val="2"/>
          <c:order val="1"/>
          <c:tx>
            <c:v>CL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Ppk!$C$46:$AA$46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D5C-4932-BB75-B00BBF6B3B5A}"/>
            </c:ext>
          </c:extLst>
        </c:ser>
        <c:ser>
          <c:idx val="3"/>
          <c:order val="2"/>
          <c:tx>
            <c:v>LCL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Ppk!$C$47:$AA$47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D5C-4932-BB75-B00BBF6B3B5A}"/>
            </c:ext>
          </c:extLst>
        </c:ser>
        <c:ser>
          <c:idx val="0"/>
          <c:order val="3"/>
          <c:tx>
            <c:v>R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Ppk!$C$32:$AA$32</c:f>
              <c:numCache>
                <c:formatCode>@</c:formatCode>
                <c:ptCount val="25"/>
              </c:numCache>
            </c:numRef>
          </c:cat>
          <c:val>
            <c:numRef>
              <c:f>Ppk!$C$39:$AA$39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D5C-4932-BB75-B00BBF6B3B5A}"/>
            </c:ext>
          </c:extLst>
        </c:ser>
        <c:dLbls/>
        <c:marker val="1"/>
        <c:axId val="96871168"/>
        <c:axId val="96872320"/>
      </c:lineChart>
      <c:catAx>
        <c:axId val="96871168"/>
        <c:scaling>
          <c:orientation val="minMax"/>
        </c:scaling>
        <c:axPos val="b"/>
        <c:numFmt formatCode="@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96872320"/>
        <c:crosses val="autoZero"/>
        <c:auto val="1"/>
        <c:lblAlgn val="ctr"/>
        <c:lblOffset val="100"/>
        <c:tickLblSkip val="1"/>
        <c:tickMarkSkip val="1"/>
      </c:catAx>
      <c:valAx>
        <c:axId val="96872320"/>
        <c:scaling>
          <c:orientation val="minMax"/>
        </c:scaling>
        <c:axPos val="l"/>
        <c:numFmt formatCode="0.00" sourceLinked="1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9687116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000000000000222" r="0.75000000000000222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6.0381355932203423E-2"/>
          <c:y val="6.9444758412717078E-2"/>
          <c:w val="0.93220338983050799"/>
          <c:h val="0.77882397053309627"/>
        </c:manualLayout>
      </c:layout>
      <c:lineChart>
        <c:grouping val="standard"/>
        <c:ser>
          <c:idx val="1"/>
          <c:order val="0"/>
          <c:tx>
            <c:v>UCL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Cpk!$C$42:$AA$42</c:f>
              <c:numCache>
                <c:formatCode>0.00</c:formatCode>
                <c:ptCount val="25"/>
                <c:pt idx="0">
                  <c:v>57.023092560000009</c:v>
                </c:pt>
                <c:pt idx="1">
                  <c:v>57.023092560000009</c:v>
                </c:pt>
                <c:pt idx="2">
                  <c:v>57.023092560000009</c:v>
                </c:pt>
                <c:pt idx="3">
                  <c:v>57.023092560000009</c:v>
                </c:pt>
                <c:pt idx="4">
                  <c:v>57.023092560000009</c:v>
                </c:pt>
                <c:pt idx="5">
                  <c:v>57.023092560000009</c:v>
                </c:pt>
                <c:pt idx="6">
                  <c:v>57.023092560000009</c:v>
                </c:pt>
                <c:pt idx="7">
                  <c:v>57.023092560000009</c:v>
                </c:pt>
                <c:pt idx="8">
                  <c:v>57.023092560000009</c:v>
                </c:pt>
                <c:pt idx="9">
                  <c:v>57.023092560000009</c:v>
                </c:pt>
                <c:pt idx="10">
                  <c:v>57.023092560000009</c:v>
                </c:pt>
                <c:pt idx="11">
                  <c:v>57.023092560000009</c:v>
                </c:pt>
                <c:pt idx="12">
                  <c:v>57.023092560000009</c:v>
                </c:pt>
                <c:pt idx="13">
                  <c:v>57.023092560000009</c:v>
                </c:pt>
                <c:pt idx="14">
                  <c:v>57.023092560000009</c:v>
                </c:pt>
                <c:pt idx="15">
                  <c:v>57.023092560000009</c:v>
                </c:pt>
                <c:pt idx="16">
                  <c:v>57.023092560000009</c:v>
                </c:pt>
                <c:pt idx="17">
                  <c:v>57.023092560000009</c:v>
                </c:pt>
                <c:pt idx="18">
                  <c:v>57.023092560000009</c:v>
                </c:pt>
                <c:pt idx="19">
                  <c:v>57.023092560000009</c:v>
                </c:pt>
                <c:pt idx="20">
                  <c:v>57.023092560000009</c:v>
                </c:pt>
                <c:pt idx="21">
                  <c:v>57.023092560000009</c:v>
                </c:pt>
                <c:pt idx="22">
                  <c:v>57.023092560000009</c:v>
                </c:pt>
                <c:pt idx="23">
                  <c:v>57.023092560000009</c:v>
                </c:pt>
                <c:pt idx="24">
                  <c:v>57.023092560000009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ED-424F-BCEA-4A4F40EBC85B}"/>
            </c:ext>
          </c:extLst>
        </c:ser>
        <c:ser>
          <c:idx val="2"/>
          <c:order val="1"/>
          <c:tx>
            <c:v>CL</c:v>
          </c:tx>
          <c:spPr>
            <a:ln w="15875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Cpk!$C$43:$AA$43</c:f>
              <c:numCache>
                <c:formatCode>0.00</c:formatCode>
                <c:ptCount val="25"/>
                <c:pt idx="0">
                  <c:v>57.021200000000007</c:v>
                </c:pt>
                <c:pt idx="1">
                  <c:v>57.021200000000007</c:v>
                </c:pt>
                <c:pt idx="2">
                  <c:v>57.021200000000007</c:v>
                </c:pt>
                <c:pt idx="3">
                  <c:v>57.021200000000007</c:v>
                </c:pt>
                <c:pt idx="4">
                  <c:v>57.021200000000007</c:v>
                </c:pt>
                <c:pt idx="5">
                  <c:v>57.021200000000007</c:v>
                </c:pt>
                <c:pt idx="6">
                  <c:v>57.021200000000007</c:v>
                </c:pt>
                <c:pt idx="7">
                  <c:v>57.021200000000007</c:v>
                </c:pt>
                <c:pt idx="8">
                  <c:v>57.021200000000007</c:v>
                </c:pt>
                <c:pt idx="9">
                  <c:v>57.021200000000007</c:v>
                </c:pt>
                <c:pt idx="10">
                  <c:v>57.021200000000007</c:v>
                </c:pt>
                <c:pt idx="11">
                  <c:v>57.021200000000007</c:v>
                </c:pt>
                <c:pt idx="12">
                  <c:v>57.021200000000007</c:v>
                </c:pt>
                <c:pt idx="13">
                  <c:v>57.021200000000007</c:v>
                </c:pt>
                <c:pt idx="14">
                  <c:v>57.021200000000007</c:v>
                </c:pt>
                <c:pt idx="15">
                  <c:v>57.021200000000007</c:v>
                </c:pt>
                <c:pt idx="16">
                  <c:v>57.021200000000007</c:v>
                </c:pt>
                <c:pt idx="17">
                  <c:v>57.021200000000007</c:v>
                </c:pt>
                <c:pt idx="18">
                  <c:v>57.021200000000007</c:v>
                </c:pt>
                <c:pt idx="19">
                  <c:v>57.021200000000007</c:v>
                </c:pt>
                <c:pt idx="20">
                  <c:v>57.021200000000007</c:v>
                </c:pt>
                <c:pt idx="21">
                  <c:v>57.021200000000007</c:v>
                </c:pt>
                <c:pt idx="22">
                  <c:v>57.021200000000007</c:v>
                </c:pt>
                <c:pt idx="23">
                  <c:v>57.021200000000007</c:v>
                </c:pt>
                <c:pt idx="24">
                  <c:v>57.021200000000007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8ED-424F-BCEA-4A4F40EBC85B}"/>
            </c:ext>
          </c:extLst>
        </c:ser>
        <c:ser>
          <c:idx val="3"/>
          <c:order val="2"/>
          <c:tx>
            <c:v>LCL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Cpk!$C$44:$AA$44</c:f>
              <c:numCache>
                <c:formatCode>0.00</c:formatCode>
                <c:ptCount val="25"/>
                <c:pt idx="0">
                  <c:v>57.019307440000006</c:v>
                </c:pt>
                <c:pt idx="1">
                  <c:v>57.019307440000006</c:v>
                </c:pt>
                <c:pt idx="2">
                  <c:v>57.019307440000006</c:v>
                </c:pt>
                <c:pt idx="3">
                  <c:v>57.019307440000006</c:v>
                </c:pt>
                <c:pt idx="4">
                  <c:v>57.019307440000006</c:v>
                </c:pt>
                <c:pt idx="5">
                  <c:v>57.019307440000006</c:v>
                </c:pt>
                <c:pt idx="6">
                  <c:v>57.019307440000006</c:v>
                </c:pt>
                <c:pt idx="7">
                  <c:v>57.019307440000006</c:v>
                </c:pt>
                <c:pt idx="8">
                  <c:v>57.019307440000006</c:v>
                </c:pt>
                <c:pt idx="9">
                  <c:v>57.019307440000006</c:v>
                </c:pt>
                <c:pt idx="10">
                  <c:v>57.019307440000006</c:v>
                </c:pt>
                <c:pt idx="11">
                  <c:v>57.019307440000006</c:v>
                </c:pt>
                <c:pt idx="12">
                  <c:v>57.019307440000006</c:v>
                </c:pt>
                <c:pt idx="13">
                  <c:v>57.019307440000006</c:v>
                </c:pt>
                <c:pt idx="14">
                  <c:v>57.019307440000006</c:v>
                </c:pt>
                <c:pt idx="15">
                  <c:v>57.019307440000006</c:v>
                </c:pt>
                <c:pt idx="16">
                  <c:v>57.019307440000006</c:v>
                </c:pt>
                <c:pt idx="17">
                  <c:v>57.019307440000006</c:v>
                </c:pt>
                <c:pt idx="18">
                  <c:v>57.019307440000006</c:v>
                </c:pt>
                <c:pt idx="19">
                  <c:v>57.019307440000006</c:v>
                </c:pt>
                <c:pt idx="20">
                  <c:v>57.019307440000006</c:v>
                </c:pt>
                <c:pt idx="21">
                  <c:v>57.019307440000006</c:v>
                </c:pt>
                <c:pt idx="22">
                  <c:v>57.019307440000006</c:v>
                </c:pt>
                <c:pt idx="23">
                  <c:v>57.019307440000006</c:v>
                </c:pt>
                <c:pt idx="24">
                  <c:v>57.019307440000006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08ED-424F-BCEA-4A4F40EBC85B}"/>
            </c:ext>
          </c:extLst>
        </c:ser>
        <c:ser>
          <c:idx val="0"/>
          <c:order val="3"/>
          <c:tx>
            <c:v>Xbar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Cpk!$C$38:$AA$38</c:f>
              <c:numCache>
                <c:formatCode>0.00_ </c:formatCode>
                <c:ptCount val="25"/>
                <c:pt idx="0">
                  <c:v>57.022500000000001</c:v>
                </c:pt>
                <c:pt idx="1">
                  <c:v>57.021250000000002</c:v>
                </c:pt>
                <c:pt idx="2">
                  <c:v>57.02</c:v>
                </c:pt>
                <c:pt idx="3">
                  <c:v>57.022500000000001</c:v>
                </c:pt>
                <c:pt idx="4">
                  <c:v>57.021250000000002</c:v>
                </c:pt>
                <c:pt idx="5">
                  <c:v>57.02</c:v>
                </c:pt>
                <c:pt idx="6">
                  <c:v>57.022500000000001</c:v>
                </c:pt>
                <c:pt idx="7">
                  <c:v>57.021250000000002</c:v>
                </c:pt>
                <c:pt idx="8">
                  <c:v>57.02</c:v>
                </c:pt>
                <c:pt idx="9">
                  <c:v>57.022500000000001</c:v>
                </c:pt>
                <c:pt idx="10">
                  <c:v>57.021250000000002</c:v>
                </c:pt>
                <c:pt idx="11">
                  <c:v>57.02</c:v>
                </c:pt>
                <c:pt idx="12">
                  <c:v>57.022500000000001</c:v>
                </c:pt>
                <c:pt idx="13">
                  <c:v>57.021250000000002</c:v>
                </c:pt>
                <c:pt idx="14">
                  <c:v>57.02</c:v>
                </c:pt>
                <c:pt idx="15">
                  <c:v>57.022500000000001</c:v>
                </c:pt>
                <c:pt idx="16">
                  <c:v>57.021250000000002</c:v>
                </c:pt>
                <c:pt idx="17">
                  <c:v>57.02</c:v>
                </c:pt>
                <c:pt idx="18">
                  <c:v>57.022500000000001</c:v>
                </c:pt>
                <c:pt idx="19">
                  <c:v>57.021250000000002</c:v>
                </c:pt>
                <c:pt idx="20">
                  <c:v>57.02</c:v>
                </c:pt>
                <c:pt idx="21">
                  <c:v>57.022500000000001</c:v>
                </c:pt>
                <c:pt idx="22">
                  <c:v>57.021250000000002</c:v>
                </c:pt>
                <c:pt idx="23">
                  <c:v>57.02</c:v>
                </c:pt>
                <c:pt idx="24">
                  <c:v>57.02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08ED-424F-BCEA-4A4F40EBC85B}"/>
            </c:ext>
          </c:extLst>
        </c:ser>
        <c:dLbls/>
        <c:marker val="1"/>
        <c:axId val="103604608"/>
        <c:axId val="103606144"/>
      </c:lineChart>
      <c:catAx>
        <c:axId val="103604608"/>
        <c:scaling>
          <c:orientation val="minMax"/>
        </c:scaling>
        <c:axPos val="b"/>
        <c:numFmt formatCode="0.000" sourceLinked="1"/>
        <c:majorTickMark val="cross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03606144"/>
        <c:crosses val="autoZero"/>
        <c:auto val="1"/>
        <c:lblAlgn val="ctr"/>
        <c:lblOffset val="100"/>
        <c:tickLblSkip val="1"/>
        <c:tickMarkSkip val="1"/>
      </c:catAx>
      <c:valAx>
        <c:axId val="103606144"/>
        <c:scaling>
          <c:orientation val="minMax"/>
        </c:scaling>
        <c:axPos val="l"/>
        <c:numFmt formatCode="0.00" sourceLinked="1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103604608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paperSize="9" orientation="landscape" horizontalDpi="-4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720338983050853E-2"/>
          <c:y val="6.7873303167420809E-2"/>
          <c:w val="0.93538135593220295"/>
          <c:h val="0.82894756576480566"/>
        </c:manualLayout>
      </c:layout>
      <c:lineChart>
        <c:grouping val="standard"/>
        <c:ser>
          <c:idx val="1"/>
          <c:order val="0"/>
          <c:tx>
            <c:v>UCL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Cpk!$C$45:$AA$45</c:f>
              <c:numCache>
                <c:formatCode>0.00</c:formatCode>
                <c:ptCount val="25"/>
                <c:pt idx="0">
                  <c:v>6.9372000000036691E-3</c:v>
                </c:pt>
                <c:pt idx="1">
                  <c:v>6.9372000000036691E-3</c:v>
                </c:pt>
                <c:pt idx="2">
                  <c:v>6.9372000000036691E-3</c:v>
                </c:pt>
                <c:pt idx="3">
                  <c:v>6.9372000000036691E-3</c:v>
                </c:pt>
                <c:pt idx="4">
                  <c:v>6.9372000000036691E-3</c:v>
                </c:pt>
                <c:pt idx="5">
                  <c:v>6.9372000000036691E-3</c:v>
                </c:pt>
                <c:pt idx="6">
                  <c:v>6.9372000000036691E-3</c:v>
                </c:pt>
                <c:pt idx="7">
                  <c:v>6.9372000000036691E-3</c:v>
                </c:pt>
                <c:pt idx="8">
                  <c:v>6.9372000000036691E-3</c:v>
                </c:pt>
                <c:pt idx="9">
                  <c:v>6.9372000000036691E-3</c:v>
                </c:pt>
                <c:pt idx="10">
                  <c:v>6.9372000000036691E-3</c:v>
                </c:pt>
                <c:pt idx="11">
                  <c:v>6.9372000000036691E-3</c:v>
                </c:pt>
                <c:pt idx="12">
                  <c:v>6.9372000000036691E-3</c:v>
                </c:pt>
                <c:pt idx="13">
                  <c:v>6.9372000000036691E-3</c:v>
                </c:pt>
                <c:pt idx="14">
                  <c:v>6.9372000000036691E-3</c:v>
                </c:pt>
                <c:pt idx="15">
                  <c:v>6.9372000000036691E-3</c:v>
                </c:pt>
                <c:pt idx="16">
                  <c:v>6.9372000000036691E-3</c:v>
                </c:pt>
                <c:pt idx="17">
                  <c:v>6.9372000000036691E-3</c:v>
                </c:pt>
                <c:pt idx="18">
                  <c:v>6.9372000000036691E-3</c:v>
                </c:pt>
                <c:pt idx="19">
                  <c:v>6.9372000000036691E-3</c:v>
                </c:pt>
                <c:pt idx="20">
                  <c:v>6.9372000000036691E-3</c:v>
                </c:pt>
                <c:pt idx="21">
                  <c:v>6.9372000000036691E-3</c:v>
                </c:pt>
                <c:pt idx="22">
                  <c:v>6.9372000000036691E-3</c:v>
                </c:pt>
                <c:pt idx="23">
                  <c:v>6.9372000000036691E-3</c:v>
                </c:pt>
                <c:pt idx="24">
                  <c:v>6.9372000000036691E-3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0-4162-A548-933381A9C125}"/>
            </c:ext>
          </c:extLst>
        </c:ser>
        <c:ser>
          <c:idx val="2"/>
          <c:order val="1"/>
          <c:tx>
            <c:v>CL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Cpk!$C$46:$AA$46</c:f>
              <c:numCache>
                <c:formatCode>0.00</c:formatCode>
                <c:ptCount val="25"/>
                <c:pt idx="0">
                  <c:v>3.2800000000017347E-3</c:v>
                </c:pt>
                <c:pt idx="1">
                  <c:v>3.2800000000017347E-3</c:v>
                </c:pt>
                <c:pt idx="2">
                  <c:v>3.2800000000017347E-3</c:v>
                </c:pt>
                <c:pt idx="3">
                  <c:v>3.2800000000017347E-3</c:v>
                </c:pt>
                <c:pt idx="4">
                  <c:v>3.2800000000017347E-3</c:v>
                </c:pt>
                <c:pt idx="5">
                  <c:v>3.2800000000017347E-3</c:v>
                </c:pt>
                <c:pt idx="6">
                  <c:v>3.2800000000017347E-3</c:v>
                </c:pt>
                <c:pt idx="7">
                  <c:v>3.2800000000017347E-3</c:v>
                </c:pt>
                <c:pt idx="8">
                  <c:v>3.2800000000017347E-3</c:v>
                </c:pt>
                <c:pt idx="9">
                  <c:v>3.2800000000017347E-3</c:v>
                </c:pt>
                <c:pt idx="10">
                  <c:v>3.2800000000017347E-3</c:v>
                </c:pt>
                <c:pt idx="11">
                  <c:v>3.2800000000017347E-3</c:v>
                </c:pt>
                <c:pt idx="12">
                  <c:v>3.2800000000017347E-3</c:v>
                </c:pt>
                <c:pt idx="13">
                  <c:v>3.2800000000017347E-3</c:v>
                </c:pt>
                <c:pt idx="14">
                  <c:v>3.2800000000017347E-3</c:v>
                </c:pt>
                <c:pt idx="15">
                  <c:v>3.2800000000017347E-3</c:v>
                </c:pt>
                <c:pt idx="16">
                  <c:v>3.2800000000017347E-3</c:v>
                </c:pt>
                <c:pt idx="17">
                  <c:v>3.2800000000017347E-3</c:v>
                </c:pt>
                <c:pt idx="18">
                  <c:v>3.2800000000017347E-3</c:v>
                </c:pt>
                <c:pt idx="19">
                  <c:v>3.2800000000017347E-3</c:v>
                </c:pt>
                <c:pt idx="20">
                  <c:v>3.2800000000017347E-3</c:v>
                </c:pt>
                <c:pt idx="21">
                  <c:v>3.2800000000017347E-3</c:v>
                </c:pt>
                <c:pt idx="22">
                  <c:v>3.2800000000017347E-3</c:v>
                </c:pt>
                <c:pt idx="23">
                  <c:v>3.2800000000017347E-3</c:v>
                </c:pt>
                <c:pt idx="24">
                  <c:v>3.2800000000017347E-3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890-4162-A548-933381A9C125}"/>
            </c:ext>
          </c:extLst>
        </c:ser>
        <c:ser>
          <c:idx val="3"/>
          <c:order val="2"/>
          <c:tx>
            <c:v>LCL</c:v>
          </c:tx>
          <c:spPr>
            <a:ln w="25400">
              <a:solidFill>
                <a:srgbClr val="000000"/>
              </a:solidFill>
              <a:prstDash val="sysDash"/>
            </a:ln>
          </c:spPr>
          <c:marker>
            <c:symbol val="none"/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Cpk!$C$47:$AA$47</c:f>
              <c:numCache>
                <c:formatCode>0.00</c:formatCode>
                <c:ptCount val="2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890-4162-A548-933381A9C125}"/>
            </c:ext>
          </c:extLst>
        </c:ser>
        <c:ser>
          <c:idx val="0"/>
          <c:order val="3"/>
          <c:tx>
            <c:v>R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circle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Cpk!$C$32:$AA$32</c:f>
              <c:numCache>
                <c:formatCode>0.000</c:formatCode>
                <c:ptCount val="25"/>
                <c:pt idx="0">
                  <c:v>57.023000000000003</c:v>
                </c:pt>
                <c:pt idx="1">
                  <c:v>57.023000000000003</c:v>
                </c:pt>
                <c:pt idx="2">
                  <c:v>57.018000000000001</c:v>
                </c:pt>
                <c:pt idx="3">
                  <c:v>57.023000000000003</c:v>
                </c:pt>
                <c:pt idx="4">
                  <c:v>57.023000000000003</c:v>
                </c:pt>
                <c:pt idx="5">
                  <c:v>57.018000000000001</c:v>
                </c:pt>
                <c:pt idx="6">
                  <c:v>57.023000000000003</c:v>
                </c:pt>
                <c:pt idx="7">
                  <c:v>57.023000000000003</c:v>
                </c:pt>
                <c:pt idx="8">
                  <c:v>57.018000000000001</c:v>
                </c:pt>
                <c:pt idx="9">
                  <c:v>57.023000000000003</c:v>
                </c:pt>
                <c:pt idx="10">
                  <c:v>57.023000000000003</c:v>
                </c:pt>
                <c:pt idx="11">
                  <c:v>57.018000000000001</c:v>
                </c:pt>
                <c:pt idx="12">
                  <c:v>57.023000000000003</c:v>
                </c:pt>
                <c:pt idx="13">
                  <c:v>57.023000000000003</c:v>
                </c:pt>
                <c:pt idx="14">
                  <c:v>57.018000000000001</c:v>
                </c:pt>
                <c:pt idx="15">
                  <c:v>57.023000000000003</c:v>
                </c:pt>
                <c:pt idx="16">
                  <c:v>57.023000000000003</c:v>
                </c:pt>
                <c:pt idx="17">
                  <c:v>57.018000000000001</c:v>
                </c:pt>
                <c:pt idx="18">
                  <c:v>57.023000000000003</c:v>
                </c:pt>
                <c:pt idx="19">
                  <c:v>57.023000000000003</c:v>
                </c:pt>
                <c:pt idx="20">
                  <c:v>57.018000000000001</c:v>
                </c:pt>
                <c:pt idx="21">
                  <c:v>57.023000000000003</c:v>
                </c:pt>
                <c:pt idx="22">
                  <c:v>57.023000000000003</c:v>
                </c:pt>
                <c:pt idx="23">
                  <c:v>57.018000000000001</c:v>
                </c:pt>
                <c:pt idx="24">
                  <c:v>57.018000000000001</c:v>
                </c:pt>
              </c:numCache>
            </c:numRef>
          </c:cat>
          <c:val>
            <c:numRef>
              <c:f>Cpk!$C$39:$AA$39</c:f>
              <c:numCache>
                <c:formatCode>0.00</c:formatCode>
                <c:ptCount val="25"/>
                <c:pt idx="0">
                  <c:v>3.0000000000001137E-3</c:v>
                </c:pt>
                <c:pt idx="1">
                  <c:v>5.000000000002558E-3</c:v>
                </c:pt>
                <c:pt idx="2">
                  <c:v>2.0000000000024443E-3</c:v>
                </c:pt>
                <c:pt idx="3">
                  <c:v>3.0000000000001137E-3</c:v>
                </c:pt>
                <c:pt idx="4">
                  <c:v>5.000000000002558E-3</c:v>
                </c:pt>
                <c:pt idx="5">
                  <c:v>2.0000000000024443E-3</c:v>
                </c:pt>
                <c:pt idx="6">
                  <c:v>3.0000000000001137E-3</c:v>
                </c:pt>
                <c:pt idx="7">
                  <c:v>5.000000000002558E-3</c:v>
                </c:pt>
                <c:pt idx="8">
                  <c:v>2.0000000000024443E-3</c:v>
                </c:pt>
                <c:pt idx="9">
                  <c:v>3.0000000000001137E-3</c:v>
                </c:pt>
                <c:pt idx="10">
                  <c:v>5.000000000002558E-3</c:v>
                </c:pt>
                <c:pt idx="11">
                  <c:v>2.0000000000024443E-3</c:v>
                </c:pt>
                <c:pt idx="12">
                  <c:v>3.0000000000001137E-3</c:v>
                </c:pt>
                <c:pt idx="13">
                  <c:v>5.000000000002558E-3</c:v>
                </c:pt>
                <c:pt idx="14">
                  <c:v>2.0000000000024443E-3</c:v>
                </c:pt>
                <c:pt idx="15">
                  <c:v>3.0000000000001137E-3</c:v>
                </c:pt>
                <c:pt idx="16">
                  <c:v>5.000000000002558E-3</c:v>
                </c:pt>
                <c:pt idx="17">
                  <c:v>2.0000000000024443E-3</c:v>
                </c:pt>
                <c:pt idx="18">
                  <c:v>3.0000000000001137E-3</c:v>
                </c:pt>
                <c:pt idx="19">
                  <c:v>5.000000000002558E-3</c:v>
                </c:pt>
                <c:pt idx="20">
                  <c:v>2.0000000000024443E-3</c:v>
                </c:pt>
                <c:pt idx="21">
                  <c:v>3.0000000000001137E-3</c:v>
                </c:pt>
                <c:pt idx="22">
                  <c:v>5.000000000002558E-3</c:v>
                </c:pt>
                <c:pt idx="23">
                  <c:v>2.0000000000024443E-3</c:v>
                </c:pt>
                <c:pt idx="24">
                  <c:v>2.0000000000024443E-3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890-4162-A548-933381A9C125}"/>
            </c:ext>
          </c:extLst>
        </c:ser>
        <c:dLbls/>
        <c:marker val="1"/>
        <c:axId val="97972992"/>
        <c:axId val="97974528"/>
      </c:lineChart>
      <c:catAx>
        <c:axId val="97972992"/>
        <c:scaling>
          <c:orientation val="minMax"/>
        </c:scaling>
        <c:axPos val="b"/>
        <c:numFmt formatCode="0.000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97974528"/>
        <c:crosses val="autoZero"/>
        <c:auto val="1"/>
        <c:lblAlgn val="ctr"/>
        <c:lblOffset val="100"/>
        <c:tickLblSkip val="1"/>
        <c:tickMarkSkip val="1"/>
      </c:catAx>
      <c:valAx>
        <c:axId val="97974528"/>
        <c:scaling>
          <c:orientation val="minMax"/>
        </c:scaling>
        <c:axPos val="l"/>
        <c:numFmt formatCode="0.00" sourceLinked="1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돋움"/>
                <a:ea typeface="돋움"/>
                <a:cs typeface="돋움"/>
              </a:defRPr>
            </a:pPr>
            <a:endParaRPr lang="en-US"/>
          </a:p>
        </c:txPr>
        <c:crossAx val="9797299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돋움"/>
          <a:ea typeface="돋움"/>
          <a:cs typeface="돋움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114300</xdr:rowOff>
    </xdr:from>
    <xdr:to>
      <xdr:col>27</xdr:col>
      <xdr:colOff>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27</xdr:col>
      <xdr:colOff>0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114300</xdr:rowOff>
    </xdr:from>
    <xdr:to>
      <xdr:col>27</xdr:col>
      <xdr:colOff>0</xdr:colOff>
      <xdr:row>17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18</xdr:row>
      <xdr:rowOff>0</xdr:rowOff>
    </xdr:from>
    <xdr:to>
      <xdr:col>27</xdr:col>
      <xdr:colOff>0</xdr:colOff>
      <xdr:row>29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2011-12\LUCAS%20AUDIT%20SUBMISSION\IQA%20005%20Repor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RAVIPA~1/LOCALS~1/Temp/IQA%20005%20Report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2011-12\IQA%20005%20Report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m2\c\WINDOWS\VALVE%20SPRING%20SPC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TS%20AUDIT%202012/New%20Microsoft%20Office%20Excel%20Worksheet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ERVER\quality\riya\PPAP\lucas%20ppap\PPAP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uality\qc%20d\ppap\Frame7&#176;30'\Frame7&#176;30'\QUALITY\PC-STUDY\50MT\PC-RUN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DIT%202011-12\IQA%20009%20Repor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PSK-Doc-from-15.03.04\TQM\TQM%20Critical%20Failure%20Report\F40%20Meeting%20Review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TS%20AUDIT%202012/IQA%20010%20Report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IQA%20010%20Report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smile1/LOCALS~1/Temp/MKS%20Docs/spcmks/cpkdiamondturn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00925~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ersonal/Desktop/TS%20AUDIT%202012/Formats%20-Control%20of%20Records-%20Premi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edule 2008-10"/>
      <sheetName val="Yearly Audit Schedule 2010-11"/>
      <sheetName val="IQA Audit sch"/>
      <sheetName val="IQA - Top Management"/>
      <sheetName val="IQA - MR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MRM Guidelines"/>
      <sheetName val="COPQ Guidelines"/>
      <sheetName val="Cert Audit Obs"/>
      <sheetName val="NCR 001"/>
      <sheetName val="NCR002"/>
      <sheetName val="NCR003"/>
      <sheetName val="NCR004"/>
      <sheetName val="NCR005"/>
      <sheetName val="Review"/>
      <sheetName val="Audit Summary"/>
      <sheetName val="IQA Analysis"/>
      <sheetName val="Inprocess Pareto mar "/>
      <sheetName val="Inprocess Pareto ap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edule 2008-10"/>
      <sheetName val="Yearly Audit Schedule 2010-11"/>
      <sheetName val="IQA Audit sch"/>
      <sheetName val="IQA - Top Management"/>
      <sheetName val="IQA - MR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MRM Guidelines"/>
      <sheetName val="COPQ Guidelines"/>
      <sheetName val="Cert Audit Obs"/>
      <sheetName val="NCR 001"/>
      <sheetName val="NCR002"/>
      <sheetName val="NCR003"/>
      <sheetName val="NCR004"/>
      <sheetName val="NCR005"/>
      <sheetName val="Review"/>
      <sheetName val="Audit Summary"/>
      <sheetName val="IQA Analysis"/>
      <sheetName val="Inprocess Pareto mar "/>
      <sheetName val="Inprocess Pareto ap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edule 2008-10"/>
      <sheetName val="Yearly Audit Schedule 2010-11"/>
      <sheetName val="IQA Audit sch"/>
      <sheetName val="IQA - Top Management"/>
      <sheetName val="IQA - MR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MRM Guidelines"/>
      <sheetName val="COPQ Guidelines"/>
      <sheetName val="Cert Audit Obs"/>
      <sheetName val="NCR 001"/>
      <sheetName val="NCR002"/>
      <sheetName val="NCR003"/>
      <sheetName val="NCR004"/>
      <sheetName val="NCR005"/>
      <sheetName val="Review"/>
      <sheetName val="Audit Summary"/>
      <sheetName val="IQA Analysis"/>
      <sheetName val="Inprocess Pareto mar "/>
      <sheetName val="Inprocess Pareto ap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Sheet1"/>
      <sheetName val="ORGINAL"/>
      <sheetName val="SAMPLE HISTOGRAM"/>
      <sheetName val="125DOING"/>
      <sheetName val="REF"/>
    </sheetNames>
    <sheetDataSet>
      <sheetData sheetId="0" refreshError="1"/>
      <sheetData sheetId="1" refreshError="1"/>
      <sheetData sheetId="2" refreshError="1"/>
      <sheetData sheetId="3">
        <row r="19">
          <cell r="P19">
            <v>27.686</v>
          </cell>
        </row>
        <row r="20">
          <cell r="P20">
            <v>27.718</v>
          </cell>
        </row>
        <row r="21">
          <cell r="P21">
            <v>27.75</v>
          </cell>
        </row>
        <row r="22">
          <cell r="P22">
            <v>27.782</v>
          </cell>
        </row>
        <row r="23">
          <cell r="P23">
            <v>27.814</v>
          </cell>
        </row>
        <row r="24">
          <cell r="P24">
            <v>27.846</v>
          </cell>
        </row>
        <row r="25">
          <cell r="P25">
            <v>27.878</v>
          </cell>
        </row>
        <row r="26">
          <cell r="P26">
            <v>27.91</v>
          </cell>
        </row>
        <row r="27">
          <cell r="P27">
            <v>27.942</v>
          </cell>
        </row>
        <row r="28">
          <cell r="P28">
            <v>27.974</v>
          </cell>
        </row>
      </sheetData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MLST WKIN"/>
      <sheetName val="Sheet1"/>
      <sheetName val="Sheet2"/>
      <sheetName val="Sheet3"/>
      <sheetName val="New Microsoft Office Excel Work"/>
    </sheetNames>
    <definedNames>
      <definedName name="_GoA1" refersTo="#REF!"/>
      <definedName name="Capture.Capture" refersTo="#REF!"/>
      <definedName name="FMEA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itle"/>
      <sheetName val="ppap_rev"/>
      <sheetName val="psw "/>
      <sheetName val="tfc"/>
      <sheetName val="concerns"/>
      <sheetName val="flow"/>
      <sheetName val="fmea"/>
      <sheetName val="incoming"/>
      <sheetName val="CONTROL PLAN"/>
      <sheetName val="final"/>
      <sheetName val="check_aids"/>
      <sheetName val="ins_rpt"/>
      <sheetName val="msa"/>
      <sheetName val="spc"/>
      <sheetName val="c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pec. 0 ~ 0.15"/>
      <sheetName val="PC-RUN1"/>
    </sheetNames>
    <definedNames>
      <definedName name="Button84_Click"/>
    </defined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edule 2008-10"/>
      <sheetName val="Yearly Audit Schedule 2010-11"/>
      <sheetName val="Yearly Audit Sch 2011-2012"/>
      <sheetName val="IQA Audit sch"/>
      <sheetName val="IQA - Top Management"/>
      <sheetName val="IQA - MR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COST"/>
      <sheetName val="NCR 001"/>
      <sheetName val="NCR 002"/>
      <sheetName val="NCR 003"/>
      <sheetName val="NCR 004"/>
      <sheetName val="NCR 005"/>
      <sheetName val="NCR 006"/>
      <sheetName val="Review "/>
      <sheetName val="Audit Summary (2)"/>
      <sheetName val="IQA Analysis"/>
      <sheetName val="COM MAT"/>
      <sheetName val="COM MAT2"/>
      <sheetName val="ACTION"/>
      <sheetName val="MAY 11"/>
      <sheetName val="re action plan may"/>
      <sheetName val="JUNE 11 "/>
      <sheetName val="re action plan june"/>
      <sheetName val="JULY11 "/>
      <sheetName val="re action plan jul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General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 2011-2012"/>
      <sheetName val="Auditor Turtle"/>
      <sheetName val="Yearly Audit Schedule 2012 - 13"/>
      <sheetName val="IQA Audit sch"/>
      <sheetName val="IQA - Top Management"/>
      <sheetName val="IQA - MR"/>
      <sheetName val="IQA - Marketing"/>
      <sheetName val="IQA - Development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MRM Guidelines"/>
      <sheetName val="COPQ Guidelines"/>
      <sheetName val="Cert Audit Obs"/>
      <sheetName val="NCR 001"/>
      <sheetName val="NCR 002"/>
      <sheetName val="NCR 003"/>
      <sheetName val="NCR 004"/>
      <sheetName val="NCR 005"/>
      <sheetName val="NCR 006"/>
      <sheetName val="NCR 007"/>
      <sheetName val="NCR 08"/>
      <sheetName val="NCR 09"/>
      <sheetName val="NCR 010"/>
      <sheetName val="NCR 011"/>
      <sheetName val="NCR 012"/>
      <sheetName val="NCR 013"/>
      <sheetName val="NCR 014"/>
      <sheetName val="NCR15"/>
      <sheetName val="NCR 016"/>
      <sheetName val="NCR 017"/>
      <sheetName val="NCR 018"/>
      <sheetName val="NCR 019"/>
      <sheetName val="Review"/>
      <sheetName val="Audit Summary"/>
      <sheetName val="IQA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Yearly Audit Sch 2011-2012"/>
      <sheetName val="Auditor Turtle"/>
      <sheetName val="Yearly Audit Schedule 2012 - 13"/>
      <sheetName val="IQA Audit sch"/>
      <sheetName val="IQA - Top Management"/>
      <sheetName val="IQA - MR"/>
      <sheetName val="IQA - Marketing"/>
      <sheetName val="IQA - Development"/>
      <sheetName val="IQA - Production"/>
      <sheetName val="IQA - Quality"/>
      <sheetName val="IQA - Purchase"/>
      <sheetName val="IQA - Stores"/>
      <sheetName val="IQA - Maintenance"/>
      <sheetName val="IQA - HR"/>
      <sheetName val="MRM mins"/>
      <sheetName val="MRM Guidelines"/>
      <sheetName val="COPQ Guidelines"/>
      <sheetName val="Cert Audit Obs"/>
      <sheetName val="NCR 001"/>
      <sheetName val="NCR 002"/>
      <sheetName val="NCR 003"/>
      <sheetName val="NCR 004"/>
      <sheetName val="NCR 005"/>
      <sheetName val="NCR 006"/>
      <sheetName val="NCR 007"/>
      <sheetName val="NCR 08"/>
      <sheetName val="NCR 09"/>
      <sheetName val="NCR 010"/>
      <sheetName val="NCR 011"/>
      <sheetName val="NCR 012"/>
      <sheetName val="NCR 013"/>
      <sheetName val="NCR 014"/>
      <sheetName val="NCR15"/>
      <sheetName val="NCR 016"/>
      <sheetName val="NCR 017"/>
      <sheetName val="NCR 018"/>
      <sheetName val="NCR 019"/>
      <sheetName val="Review"/>
      <sheetName val="Audit Summary"/>
      <sheetName val="IQA Analysis"/>
      <sheetName val="ACTION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PPK COMMOD homogenis"/>
      <sheetName val="PPK COMM FINISH"/>
      <sheetName val="Sheet1"/>
      <sheetName val="PPK COMMOD"/>
      <sheetName val="PPK COMM RUNOUT"/>
      <sheetName val="CPKCOMM FINISH "/>
      <sheetName val="CPK COMMOD "/>
      <sheetName val="CPK COMM RUNOUT 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esi. slip"/>
      <sheetName val="Fesi. Reqn. slip"/>
      <sheetName val="Qtn-Mould"/>
      <sheetName val="Spilt-up"/>
      <sheetName val="Qtn. Face sheet"/>
      <sheetName val="File check list"/>
      <sheetName val="Cus. Reqt. Check list"/>
      <sheetName val="Prod. Apl. details"/>
      <sheetName val="DDP-SI"/>
      <sheetName val="Mould order pre-reqt."/>
      <sheetName val="Compound suggestion slip"/>
      <sheetName val="TC &amp; TS reqn. slip"/>
      <sheetName val="Design review record"/>
      <sheetName val="P.FLOW DIAGRAM"/>
      <sheetName val="FMEA"/>
      <sheetName val="CONTROL PLAN"/>
      <sheetName val="Inspection plan"/>
      <sheetName val="SPC"/>
      <sheetName val="Act. cost working - SI"/>
      <sheetName val="SPD- SI"/>
      <sheetName val="Samples to customer - SI"/>
      <sheetName val="DDP - MI"/>
      <sheetName val="SPD - MI"/>
      <sheetName val="Samples to customer - MI"/>
      <sheetName val="Act. Cost working - MI"/>
      <sheetName val="Appl. slip reqn."/>
      <sheetName val="Letter to pron."/>
      <sheetName val="Sheet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I3" t="str">
            <v>CONTROL PLAN</v>
          </cell>
        </row>
        <row r="42">
          <cell r="B42" t="str">
            <v>40</v>
          </cell>
          <cell r="C42" t="str">
            <v xml:space="preserve">COMPOUND </v>
          </cell>
          <cell r="D42" t="str">
            <v>RHEOMETER</v>
          </cell>
          <cell r="F42" t="str">
            <v>HARDNESS,</v>
          </cell>
          <cell r="I42" t="str">
            <v>Hs: 75-85 shore A</v>
          </cell>
          <cell r="J42" t="str">
            <v>HARDNESS ON THE</v>
          </cell>
          <cell r="K42" t="str">
            <v>ONE</v>
          </cell>
          <cell r="L42" t="str">
            <v xml:space="preserve">EVERY </v>
          </cell>
          <cell r="M42" t="str">
            <v>HARDNESS</v>
          </cell>
          <cell r="N42" t="str">
            <v xml:space="preserve">HOLD THE MIXES WHICH </v>
          </cell>
        </row>
        <row r="43">
          <cell r="C43" t="str">
            <v>TESTING</v>
          </cell>
          <cell r="D43" t="str">
            <v xml:space="preserve">HARDNESS </v>
          </cell>
          <cell r="F43" t="str">
            <v>VISCOSITY,</v>
          </cell>
          <cell r="J43" t="str">
            <v xml:space="preserve">BUTTTON </v>
          </cell>
          <cell r="K43" t="str">
            <v>SAMPLE</v>
          </cell>
          <cell r="L43" t="str">
            <v>BATCH</v>
          </cell>
          <cell r="M43" t="str">
            <v>REGISTER</v>
          </cell>
          <cell r="N43" t="str">
            <v xml:space="preserve">DO NOT CONFORM TO SPEC. </v>
          </cell>
        </row>
        <row r="44">
          <cell r="D44" t="str">
            <v>METER</v>
          </cell>
          <cell r="F44" t="str">
            <v>SCORCH</v>
          </cell>
          <cell r="J44" t="str">
            <v/>
          </cell>
          <cell r="M44" t="str">
            <v/>
          </cell>
          <cell r="N44" t="str">
            <v>RECORD IN NON-CONFORM-</v>
          </cell>
        </row>
        <row r="45">
          <cell r="F45" t="str">
            <v>TIME AND</v>
          </cell>
        </row>
        <row r="46">
          <cell r="F46" t="str">
            <v xml:space="preserve">OPTIMUM </v>
          </cell>
          <cell r="I46" t="str">
            <v>AS PER SPEC. ISSUED BY</v>
          </cell>
          <cell r="J46" t="str">
            <v>TO READ THE</v>
          </cell>
          <cell r="K46" t="str">
            <v>ONE</v>
          </cell>
          <cell r="L46" t="str">
            <v xml:space="preserve">EVERY </v>
          </cell>
          <cell r="M46" t="str">
            <v>MIX CONSOLI-</v>
          </cell>
          <cell r="N46" t="str">
            <v xml:space="preserve">ANCE REGISTER AND </v>
          </cell>
        </row>
        <row r="47">
          <cell r="F47" t="str">
            <v>C.T.</v>
          </cell>
          <cell r="I47" t="str">
            <v>R&amp;T (TECH) FOR THE</v>
          </cell>
          <cell r="J47" t="str">
            <v>GRAPH FROM</v>
          </cell>
          <cell r="K47" t="str">
            <v>SAMPLE</v>
          </cell>
          <cell r="L47" t="str">
            <v>BATCH</v>
          </cell>
          <cell r="M47" t="str">
            <v xml:space="preserve">DATION </v>
          </cell>
          <cell r="N47" t="str">
            <v xml:space="preserve">REFER TO R&amp;D (TECH) </v>
          </cell>
        </row>
        <row r="48">
          <cell r="I48" t="str">
            <v>MIX CODE SC/SI/80/6</v>
          </cell>
          <cell r="J48" t="str">
            <v>MONITOR</v>
          </cell>
          <cell r="M48" t="str">
            <v xml:space="preserve">REGISTER </v>
          </cell>
          <cell r="N48" t="str">
            <v>FOR DISPOSTION</v>
          </cell>
        </row>
        <row r="49">
          <cell r="B49" t="str">
            <v>50</v>
          </cell>
          <cell r="C49" t="str">
            <v xml:space="preserve">SLUG </v>
          </cell>
          <cell r="D49" t="str">
            <v>WARM AND</v>
          </cell>
          <cell r="F49" t="str">
            <v xml:space="preserve">WEIGHT </v>
          </cell>
          <cell r="I49" t="str">
            <v>PRE CONTROL CHART</v>
          </cell>
          <cell r="J49" t="str">
            <v>TO WEIGH USING</v>
          </cell>
          <cell r="K49" t="str">
            <v>WEIGHT</v>
          </cell>
          <cell r="M49" t="str">
            <v>SELF CHECK</v>
          </cell>
          <cell r="N49" t="str">
            <v>ADJUST,RESET AND</v>
          </cell>
        </row>
        <row r="50">
          <cell r="C50" t="str">
            <v>PREPARATION</v>
          </cell>
          <cell r="D50" t="str">
            <v>CUT</v>
          </cell>
          <cell r="F50" t="str">
            <v>OF THE SLUG</v>
          </cell>
          <cell r="I50" t="str">
            <v>WEIGHT  1.5 - 2.0  Gms.</v>
          </cell>
          <cell r="J50" t="str">
            <v xml:space="preserve">ELECTRONIC </v>
          </cell>
          <cell r="K50" t="str">
            <v xml:space="preserve">CHECKING </v>
          </cell>
          <cell r="N50" t="str">
            <v>QUARANTINE</v>
          </cell>
        </row>
        <row r="51">
          <cell r="J51" t="str">
            <v>BALANCE</v>
          </cell>
          <cell r="K51" t="str">
            <v>AT</v>
          </cell>
        </row>
        <row r="52">
          <cell r="K52" t="str">
            <v xml:space="preserve">RANDOM </v>
          </cell>
        </row>
        <row r="53">
          <cell r="B53" t="str">
            <v>60</v>
          </cell>
          <cell r="C53" t="str">
            <v>MOULDING</v>
          </cell>
          <cell r="F53" t="str">
            <v xml:space="preserve">FIRST OFF </v>
          </cell>
          <cell r="I53" t="str">
            <v>VISUAL</v>
          </cell>
          <cell r="J53" t="str">
            <v>VISUAL INSPN.</v>
          </cell>
          <cell r="K53" t="str">
            <v>1 CURE</v>
          </cell>
          <cell r="L53" t="str">
            <v xml:space="preserve">WHEN </v>
          </cell>
          <cell r="M53" t="str">
            <v xml:space="preserve">FIRST OFF </v>
          </cell>
          <cell r="N53" t="str">
            <v>TO INFORM SIHFT</v>
          </cell>
        </row>
        <row r="54">
          <cell r="F54" t="str">
            <v>INSPACTION</v>
          </cell>
          <cell r="L54" t="str">
            <v>EVER</v>
          </cell>
          <cell r="M54" t="str">
            <v>INPN. REPORT</v>
          </cell>
          <cell r="N54" t="str">
            <v>SUPERVISOR</v>
          </cell>
        </row>
        <row r="55">
          <cell r="L55" t="str">
            <v>SET-UP</v>
          </cell>
        </row>
        <row r="56">
          <cell r="L56" t="str">
            <v>CHANGE.</v>
          </cell>
        </row>
        <row r="57">
          <cell r="G57" t="str">
            <v>SET-UP</v>
          </cell>
          <cell r="I57" t="str">
            <v xml:space="preserve">M/C CONDITION </v>
          </cell>
          <cell r="J57" t="str">
            <v>VISUAL</v>
          </cell>
          <cell r="K57" t="str">
            <v>INTIAL</v>
          </cell>
          <cell r="L57" t="str">
            <v xml:space="preserve">DURING </v>
          </cell>
          <cell r="M57" t="str">
            <v xml:space="preserve">FIRST OFF </v>
          </cell>
          <cell r="N57" t="str">
            <v>TO INFORM SIHFT</v>
          </cell>
        </row>
        <row r="58">
          <cell r="G58" t="str">
            <v>APPL.</v>
          </cell>
          <cell r="I58" t="str">
            <v>AS PER PROCESS</v>
          </cell>
          <cell r="L58" t="str">
            <v>SET-UP</v>
          </cell>
          <cell r="M58" t="str">
            <v>INPN. REPORT</v>
          </cell>
          <cell r="N58" t="str">
            <v>SUPERVISOR</v>
          </cell>
        </row>
        <row r="59">
          <cell r="I59" t="str">
            <v xml:space="preserve">CHART &amp; MOULD </v>
          </cell>
        </row>
        <row r="60">
          <cell r="I60" t="str">
            <v>CONDITION</v>
          </cell>
        </row>
        <row r="61">
          <cell r="D61" t="str">
            <v>MOULD SLUGS</v>
          </cell>
          <cell r="F61" t="str">
            <v>WEIGHT</v>
          </cell>
          <cell r="I61" t="str">
            <v>2.5 - 3.0 GRAMS.</v>
          </cell>
          <cell r="J61" t="str">
            <v>PHYSICAL  VERIFI-</v>
          </cell>
          <cell r="K61" t="str">
            <v>INPUT  FOR</v>
          </cell>
          <cell r="L61" t="str">
            <v>ONCE IN</v>
          </cell>
          <cell r="M61" t="str">
            <v>PRODUCTION/</v>
          </cell>
          <cell r="N61" t="str">
            <v>TO RETERN THE SLUGS TO</v>
          </cell>
        </row>
        <row r="62">
          <cell r="J62" t="str">
            <v xml:space="preserve">CATION OF SLUG </v>
          </cell>
          <cell r="K62" t="str">
            <v>1 CYCLE</v>
          </cell>
          <cell r="L62" t="str">
            <v>AN HOUR</v>
          </cell>
          <cell r="M62" t="str">
            <v>REJECTION REPORT</v>
          </cell>
          <cell r="N62" t="str">
            <v>IP STORE FOR DISPOSITION .</v>
          </cell>
        </row>
        <row r="63">
          <cell r="J63" t="str">
            <v>WEIGHT</v>
          </cell>
          <cell r="K63" t="str">
            <v/>
          </cell>
          <cell r="M63" t="str">
            <v/>
          </cell>
        </row>
        <row r="64">
          <cell r="D64" t="str">
            <v>HYDRAULIC</v>
          </cell>
          <cell r="G64" t="str">
            <v xml:space="preserve">CURING </v>
          </cell>
          <cell r="I64" t="str">
            <v>C.T.: 6 MIN</v>
          </cell>
          <cell r="J64" t="str">
            <v>MONITOR BY THE</v>
          </cell>
          <cell r="K64" t="str">
            <v>100%</v>
          </cell>
          <cell r="L64" t="str">
            <v>EACH CURE</v>
          </cell>
          <cell r="M64" t="str">
            <v>PLC CONTROLLED</v>
          </cell>
          <cell r="N64" t="str">
            <v>TO REJECT THAT CURE AND</v>
          </cell>
        </row>
        <row r="65">
          <cell r="D65" t="str">
            <v>PRESS</v>
          </cell>
          <cell r="G65" t="str">
            <v>TIME</v>
          </cell>
          <cell r="J65" t="str">
            <v>OPERATOR.</v>
          </cell>
          <cell r="M65" t="str">
            <v>TIMER LOCK.</v>
          </cell>
          <cell r="N65" t="str">
            <v>REFER TO SHIFT INCHARGE.</v>
          </cell>
        </row>
        <row r="66">
          <cell r="G66" t="str">
            <v>PRESSURE</v>
          </cell>
          <cell r="I66" t="str">
            <v>HYD. PRESSURE</v>
          </cell>
          <cell r="J66" t="str">
            <v>TO READ THE HYD.</v>
          </cell>
          <cell r="K66" t="str">
            <v>100%</v>
          </cell>
          <cell r="L66" t="str">
            <v xml:space="preserve">EVERY </v>
          </cell>
          <cell r="M66" t="str">
            <v xml:space="preserve">HYD.PRESSURE </v>
          </cell>
          <cell r="N66" t="str">
            <v>TO REJECT THAT CURE AND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NEW"/>
      <sheetName val="ACTION (3)"/>
      <sheetName val="MLST CONT FOR"/>
      <sheetName val="MLST DOCUMENT"/>
      <sheetName val="MLST PM "/>
      <sheetName val="MLST Doc"/>
      <sheetName val="MLST Rec"/>
      <sheetName val="DOC CHG REQ"/>
      <sheetName val="Yearly Audit Sch 2011-2012"/>
      <sheetName val="IQA Audit sch"/>
      <sheetName val="Audit Checklist"/>
      <sheetName val="NC FORMAT"/>
      <sheetName val="IQA Analysis (2)"/>
      <sheetName val="MRM Guidelines"/>
      <sheetName val="COPQ Guidelines"/>
      <sheetName val="MRM mins"/>
      <sheetName val="TRANING RECORD"/>
      <sheetName val="COM MAT1"/>
      <sheetName val="COM4 CONTRA"/>
      <sheetName val="COM3 TRAINEES"/>
      <sheetName val="COM MAT2"/>
      <sheetName val="Manpower req form"/>
      <sheetName val="APP VENDOR LIST"/>
      <sheetName val="DOC ISSUE NOTE"/>
      <sheetName val="Audit Summary"/>
      <sheetName val="MRM SCHEDULE "/>
      <sheetName val="Sales growth"/>
      <sheetName val="Business Plan"/>
      <sheetName val="Customer Return PPM NEW  2013"/>
      <sheetName val="Customer Return PPM NEW"/>
      <sheetName val="Inproces &amp; Final PPM NEW"/>
      <sheetName val="Inproces &amp; Final PPM"/>
      <sheetName val="on-off JoB"/>
      <sheetName val="TRAINING PLAN"/>
      <sheetName val="COMP LEVEL"/>
      <sheetName val="6.3.2 Contigency Plan"/>
      <sheetName val="NO OF ENQ. CONVERSION"/>
      <sheetName val="Customer Enquiry form"/>
      <sheetName val="Customer Feedback form"/>
      <sheetName val="Customer feedback analysis"/>
      <sheetName val="Process Flow Chart"/>
      <sheetName val="PMP"/>
      <sheetName val="WI Std Format"/>
      <sheetName val="MLST PFD"/>
      <sheetName val="Incoming Inspn Plan"/>
      <sheetName val="MLST Machines"/>
      <sheetName val="Pre maintanance (2)"/>
      <sheetName val="Pre maintanance"/>
      <sheetName val="Spares control"/>
      <sheetName val="TAPPING LOG SHEET"/>
      <sheetName val="CNC LOG SHEET PRE"/>
      <sheetName val=" COR"/>
      <sheetName val=" CORRECTIVE PREVENTIVE ACTION"/>
      <sheetName val="MLST AOI"/>
      <sheetName val="MLST CH.AIDS"/>
      <sheetName val="MLST CPDRAW"/>
      <sheetName val="MLST SQAC1"/>
      <sheetName val="REJ REPORT"/>
      <sheetName val="MLST CUS GAUGES"/>
      <sheetName val="LAYOUT INSP PLAN"/>
      <sheetName val="PROD AU PL"/>
      <sheetName val="Customer complaints"/>
      <sheetName val="MANUF PROC AUD PL"/>
      <sheetName val="PLAN VS ACTUAL"/>
      <sheetName val="AUG-12"/>
      <sheetName val="ACTION PLAN AUG-12"/>
      <sheetName val="INSERT MON CHART"/>
      <sheetName val="REVAL PROC AUD PLAN"/>
      <sheetName val="MLST wis"/>
      <sheetName val="MLST PROGRAM"/>
      <sheetName val="APQP Timing plan"/>
      <sheetName val="TOOL MAN PLAN"/>
      <sheetName val="MLST QCPC"/>
      <sheetName val="PR-MAN "/>
      <sheetName val="INT CAL REC"/>
      <sheetName val="COP"/>
      <sheetName val="MAN PRO AUD REP"/>
      <sheetName val="CUS REQ CH"/>
      <sheetName val="MSA PLAN"/>
      <sheetName val="MSA-APG"/>
      <sheetName val="PROC VAL REPORT"/>
      <sheetName val="MSA VISUAL INSP"/>
      <sheetName val="ML SP"/>
      <sheetName val="M70 SETTING PROCEDURE"/>
      <sheetName val="5-S Yearly "/>
      <sheetName val="5S Checksheet (2)"/>
      <sheetName val="5S Comments &amp; Actions  Form"/>
      <sheetName val="SCHED-5S"/>
      <sheetName val="MAINT -5S"/>
      <sheetName val="REWORK PR"/>
      <sheetName val="CMR- MONT REJ"/>
      <sheetName val="PR VAL REPORT2"/>
      <sheetName val="Yearly Prev Sched"/>
      <sheetName val="MLST FMEA"/>
      <sheetName val="Predictive maint.cnc"/>
      <sheetName val="WORK INST"/>
      <sheetName val="OPR STOP ADV"/>
      <sheetName val="MLST SIGNIF CHARA"/>
      <sheetName val="ACC &amp; INC 2013"/>
      <sheetName val="ACC &amp; INC"/>
      <sheetName val="FIR EX LAY"/>
      <sheetName val="QMS-CHECK LIST"/>
      <sheetName val="Sheet1"/>
      <sheetName val="Sheet2"/>
      <sheetName val="BREK DOWN INT SLIP"/>
      <sheetName val="Machine history card"/>
      <sheetName val="CNC PRO PLAN"/>
      <sheetName val="DRILL PRO PLAN"/>
      <sheetName val="CHECKING AID"/>
      <sheetName val="9636"/>
      <sheetName val="9638"/>
      <sheetName val="9525"/>
      <sheetName val="8354"/>
      <sheetName val="7998"/>
      <sheetName val="drill predictiv"/>
      <sheetName val="Predictive maint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/>
      <sheetData sheetId="99" refreshError="1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4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3.bin"/><Relationship Id="rId11" Type="http://schemas.openxmlformats.org/officeDocument/2006/relationships/oleObject" Target="../embeddings/oleObject8.bin"/><Relationship Id="rId5" Type="http://schemas.openxmlformats.org/officeDocument/2006/relationships/oleObject" Target="../embeddings/oleObject2.bin"/><Relationship Id="rId10" Type="http://schemas.openxmlformats.org/officeDocument/2006/relationships/oleObject" Target="../embeddings/oleObject7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6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3.bin"/><Relationship Id="rId3" Type="http://schemas.openxmlformats.org/officeDocument/2006/relationships/vmlDrawing" Target="../drawings/vmlDrawing2.vml"/><Relationship Id="rId7" Type="http://schemas.openxmlformats.org/officeDocument/2006/relationships/oleObject" Target="../embeddings/oleObject12.bin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1.bin"/><Relationship Id="rId11" Type="http://schemas.openxmlformats.org/officeDocument/2006/relationships/oleObject" Target="../embeddings/oleObject16.bin"/><Relationship Id="rId5" Type="http://schemas.openxmlformats.org/officeDocument/2006/relationships/oleObject" Target="../embeddings/oleObject10.bin"/><Relationship Id="rId10" Type="http://schemas.openxmlformats.org/officeDocument/2006/relationships/oleObject" Target="../embeddings/oleObject15.bin"/><Relationship Id="rId4" Type="http://schemas.openxmlformats.org/officeDocument/2006/relationships/oleObject" Target="../embeddings/oleObject9.bin"/><Relationship Id="rId9" Type="http://schemas.openxmlformats.org/officeDocument/2006/relationships/oleObject" Target="../embeddings/oleObject14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9"/>
  <sheetViews>
    <sheetView showGridLines="0" view="pageBreakPreview" topLeftCell="G31" zoomScaleSheetLayoutView="100" workbookViewId="0">
      <selection activeCell="AL16" sqref="AL16"/>
    </sheetView>
  </sheetViews>
  <sheetFormatPr defaultColWidth="11.28515625" defaultRowHeight="15"/>
  <cols>
    <col min="1" max="1" width="5.7109375" style="1" customWidth="1"/>
    <col min="2" max="2" width="6.28515625" style="1" customWidth="1"/>
    <col min="3" max="27" width="6.140625" style="1" customWidth="1"/>
    <col min="28" max="28" width="4.42578125" style="1" customWidth="1"/>
    <col min="29" max="30" width="3.140625" style="1" customWidth="1"/>
    <col min="31" max="31" width="3.85546875" style="1" customWidth="1"/>
    <col min="32" max="32" width="3.140625" style="1" customWidth="1"/>
    <col min="33" max="33" width="4.42578125" style="1" customWidth="1"/>
    <col min="34" max="34" width="3.140625" style="1" customWidth="1"/>
    <col min="35" max="35" width="7.7109375" style="1" customWidth="1"/>
    <col min="36" max="37" width="3.140625" style="1" customWidth="1"/>
    <col min="38" max="256" width="11.28515625" style="1"/>
    <col min="257" max="257" width="5.7109375" style="1" customWidth="1"/>
    <col min="258" max="258" width="6.28515625" style="1" customWidth="1"/>
    <col min="259" max="283" width="6.140625" style="1" customWidth="1"/>
    <col min="284" max="284" width="4.42578125" style="1" customWidth="1"/>
    <col min="285" max="286" width="3.140625" style="1" customWidth="1"/>
    <col min="287" max="287" width="3.85546875" style="1" customWidth="1"/>
    <col min="288" max="288" width="3.140625" style="1" customWidth="1"/>
    <col min="289" max="289" width="4.42578125" style="1" customWidth="1"/>
    <col min="290" max="290" width="3.140625" style="1" customWidth="1"/>
    <col min="291" max="291" width="7.7109375" style="1" customWidth="1"/>
    <col min="292" max="293" width="3.140625" style="1" customWidth="1"/>
    <col min="294" max="512" width="11.28515625" style="1"/>
    <col min="513" max="513" width="5.7109375" style="1" customWidth="1"/>
    <col min="514" max="514" width="6.28515625" style="1" customWidth="1"/>
    <col min="515" max="539" width="6.140625" style="1" customWidth="1"/>
    <col min="540" max="540" width="4.42578125" style="1" customWidth="1"/>
    <col min="541" max="542" width="3.140625" style="1" customWidth="1"/>
    <col min="543" max="543" width="3.85546875" style="1" customWidth="1"/>
    <col min="544" max="544" width="3.140625" style="1" customWidth="1"/>
    <col min="545" max="545" width="4.42578125" style="1" customWidth="1"/>
    <col min="546" max="546" width="3.140625" style="1" customWidth="1"/>
    <col min="547" max="547" width="7.7109375" style="1" customWidth="1"/>
    <col min="548" max="549" width="3.140625" style="1" customWidth="1"/>
    <col min="550" max="768" width="11.28515625" style="1"/>
    <col min="769" max="769" width="5.7109375" style="1" customWidth="1"/>
    <col min="770" max="770" width="6.28515625" style="1" customWidth="1"/>
    <col min="771" max="795" width="6.140625" style="1" customWidth="1"/>
    <col min="796" max="796" width="4.42578125" style="1" customWidth="1"/>
    <col min="797" max="798" width="3.140625" style="1" customWidth="1"/>
    <col min="799" max="799" width="3.85546875" style="1" customWidth="1"/>
    <col min="800" max="800" width="3.140625" style="1" customWidth="1"/>
    <col min="801" max="801" width="4.42578125" style="1" customWidth="1"/>
    <col min="802" max="802" width="3.140625" style="1" customWidth="1"/>
    <col min="803" max="803" width="7.7109375" style="1" customWidth="1"/>
    <col min="804" max="805" width="3.140625" style="1" customWidth="1"/>
    <col min="806" max="1024" width="11.28515625" style="1"/>
    <col min="1025" max="1025" width="5.7109375" style="1" customWidth="1"/>
    <col min="1026" max="1026" width="6.28515625" style="1" customWidth="1"/>
    <col min="1027" max="1051" width="6.140625" style="1" customWidth="1"/>
    <col min="1052" max="1052" width="4.42578125" style="1" customWidth="1"/>
    <col min="1053" max="1054" width="3.140625" style="1" customWidth="1"/>
    <col min="1055" max="1055" width="3.85546875" style="1" customWidth="1"/>
    <col min="1056" max="1056" width="3.140625" style="1" customWidth="1"/>
    <col min="1057" max="1057" width="4.42578125" style="1" customWidth="1"/>
    <col min="1058" max="1058" width="3.140625" style="1" customWidth="1"/>
    <col min="1059" max="1059" width="7.7109375" style="1" customWidth="1"/>
    <col min="1060" max="1061" width="3.140625" style="1" customWidth="1"/>
    <col min="1062" max="1280" width="11.28515625" style="1"/>
    <col min="1281" max="1281" width="5.7109375" style="1" customWidth="1"/>
    <col min="1282" max="1282" width="6.28515625" style="1" customWidth="1"/>
    <col min="1283" max="1307" width="6.140625" style="1" customWidth="1"/>
    <col min="1308" max="1308" width="4.42578125" style="1" customWidth="1"/>
    <col min="1309" max="1310" width="3.140625" style="1" customWidth="1"/>
    <col min="1311" max="1311" width="3.85546875" style="1" customWidth="1"/>
    <col min="1312" max="1312" width="3.140625" style="1" customWidth="1"/>
    <col min="1313" max="1313" width="4.42578125" style="1" customWidth="1"/>
    <col min="1314" max="1314" width="3.140625" style="1" customWidth="1"/>
    <col min="1315" max="1315" width="7.7109375" style="1" customWidth="1"/>
    <col min="1316" max="1317" width="3.140625" style="1" customWidth="1"/>
    <col min="1318" max="1536" width="11.28515625" style="1"/>
    <col min="1537" max="1537" width="5.7109375" style="1" customWidth="1"/>
    <col min="1538" max="1538" width="6.28515625" style="1" customWidth="1"/>
    <col min="1539" max="1563" width="6.140625" style="1" customWidth="1"/>
    <col min="1564" max="1564" width="4.42578125" style="1" customWidth="1"/>
    <col min="1565" max="1566" width="3.140625" style="1" customWidth="1"/>
    <col min="1567" max="1567" width="3.85546875" style="1" customWidth="1"/>
    <col min="1568" max="1568" width="3.140625" style="1" customWidth="1"/>
    <col min="1569" max="1569" width="4.42578125" style="1" customWidth="1"/>
    <col min="1570" max="1570" width="3.140625" style="1" customWidth="1"/>
    <col min="1571" max="1571" width="7.7109375" style="1" customWidth="1"/>
    <col min="1572" max="1573" width="3.140625" style="1" customWidth="1"/>
    <col min="1574" max="1792" width="11.28515625" style="1"/>
    <col min="1793" max="1793" width="5.7109375" style="1" customWidth="1"/>
    <col min="1794" max="1794" width="6.28515625" style="1" customWidth="1"/>
    <col min="1795" max="1819" width="6.140625" style="1" customWidth="1"/>
    <col min="1820" max="1820" width="4.42578125" style="1" customWidth="1"/>
    <col min="1821" max="1822" width="3.140625" style="1" customWidth="1"/>
    <col min="1823" max="1823" width="3.85546875" style="1" customWidth="1"/>
    <col min="1824" max="1824" width="3.140625" style="1" customWidth="1"/>
    <col min="1825" max="1825" width="4.42578125" style="1" customWidth="1"/>
    <col min="1826" max="1826" width="3.140625" style="1" customWidth="1"/>
    <col min="1827" max="1827" width="7.7109375" style="1" customWidth="1"/>
    <col min="1828" max="1829" width="3.140625" style="1" customWidth="1"/>
    <col min="1830" max="2048" width="11.28515625" style="1"/>
    <col min="2049" max="2049" width="5.7109375" style="1" customWidth="1"/>
    <col min="2050" max="2050" width="6.28515625" style="1" customWidth="1"/>
    <col min="2051" max="2075" width="6.140625" style="1" customWidth="1"/>
    <col min="2076" max="2076" width="4.42578125" style="1" customWidth="1"/>
    <col min="2077" max="2078" width="3.140625" style="1" customWidth="1"/>
    <col min="2079" max="2079" width="3.85546875" style="1" customWidth="1"/>
    <col min="2080" max="2080" width="3.140625" style="1" customWidth="1"/>
    <col min="2081" max="2081" width="4.42578125" style="1" customWidth="1"/>
    <col min="2082" max="2082" width="3.140625" style="1" customWidth="1"/>
    <col min="2083" max="2083" width="7.7109375" style="1" customWidth="1"/>
    <col min="2084" max="2085" width="3.140625" style="1" customWidth="1"/>
    <col min="2086" max="2304" width="11.28515625" style="1"/>
    <col min="2305" max="2305" width="5.7109375" style="1" customWidth="1"/>
    <col min="2306" max="2306" width="6.28515625" style="1" customWidth="1"/>
    <col min="2307" max="2331" width="6.140625" style="1" customWidth="1"/>
    <col min="2332" max="2332" width="4.42578125" style="1" customWidth="1"/>
    <col min="2333" max="2334" width="3.140625" style="1" customWidth="1"/>
    <col min="2335" max="2335" width="3.85546875" style="1" customWidth="1"/>
    <col min="2336" max="2336" width="3.140625" style="1" customWidth="1"/>
    <col min="2337" max="2337" width="4.42578125" style="1" customWidth="1"/>
    <col min="2338" max="2338" width="3.140625" style="1" customWidth="1"/>
    <col min="2339" max="2339" width="7.7109375" style="1" customWidth="1"/>
    <col min="2340" max="2341" width="3.140625" style="1" customWidth="1"/>
    <col min="2342" max="2560" width="11.28515625" style="1"/>
    <col min="2561" max="2561" width="5.7109375" style="1" customWidth="1"/>
    <col min="2562" max="2562" width="6.28515625" style="1" customWidth="1"/>
    <col min="2563" max="2587" width="6.140625" style="1" customWidth="1"/>
    <col min="2588" max="2588" width="4.42578125" style="1" customWidth="1"/>
    <col min="2589" max="2590" width="3.140625" style="1" customWidth="1"/>
    <col min="2591" max="2591" width="3.85546875" style="1" customWidth="1"/>
    <col min="2592" max="2592" width="3.140625" style="1" customWidth="1"/>
    <col min="2593" max="2593" width="4.42578125" style="1" customWidth="1"/>
    <col min="2594" max="2594" width="3.140625" style="1" customWidth="1"/>
    <col min="2595" max="2595" width="7.7109375" style="1" customWidth="1"/>
    <col min="2596" max="2597" width="3.140625" style="1" customWidth="1"/>
    <col min="2598" max="2816" width="11.28515625" style="1"/>
    <col min="2817" max="2817" width="5.7109375" style="1" customWidth="1"/>
    <col min="2818" max="2818" width="6.28515625" style="1" customWidth="1"/>
    <col min="2819" max="2843" width="6.140625" style="1" customWidth="1"/>
    <col min="2844" max="2844" width="4.42578125" style="1" customWidth="1"/>
    <col min="2845" max="2846" width="3.140625" style="1" customWidth="1"/>
    <col min="2847" max="2847" width="3.85546875" style="1" customWidth="1"/>
    <col min="2848" max="2848" width="3.140625" style="1" customWidth="1"/>
    <col min="2849" max="2849" width="4.42578125" style="1" customWidth="1"/>
    <col min="2850" max="2850" width="3.140625" style="1" customWidth="1"/>
    <col min="2851" max="2851" width="7.7109375" style="1" customWidth="1"/>
    <col min="2852" max="2853" width="3.140625" style="1" customWidth="1"/>
    <col min="2854" max="3072" width="11.28515625" style="1"/>
    <col min="3073" max="3073" width="5.7109375" style="1" customWidth="1"/>
    <col min="3074" max="3074" width="6.28515625" style="1" customWidth="1"/>
    <col min="3075" max="3099" width="6.140625" style="1" customWidth="1"/>
    <col min="3100" max="3100" width="4.42578125" style="1" customWidth="1"/>
    <col min="3101" max="3102" width="3.140625" style="1" customWidth="1"/>
    <col min="3103" max="3103" width="3.85546875" style="1" customWidth="1"/>
    <col min="3104" max="3104" width="3.140625" style="1" customWidth="1"/>
    <col min="3105" max="3105" width="4.42578125" style="1" customWidth="1"/>
    <col min="3106" max="3106" width="3.140625" style="1" customWidth="1"/>
    <col min="3107" max="3107" width="7.7109375" style="1" customWidth="1"/>
    <col min="3108" max="3109" width="3.140625" style="1" customWidth="1"/>
    <col min="3110" max="3328" width="11.28515625" style="1"/>
    <col min="3329" max="3329" width="5.7109375" style="1" customWidth="1"/>
    <col min="3330" max="3330" width="6.28515625" style="1" customWidth="1"/>
    <col min="3331" max="3355" width="6.140625" style="1" customWidth="1"/>
    <col min="3356" max="3356" width="4.42578125" style="1" customWidth="1"/>
    <col min="3357" max="3358" width="3.140625" style="1" customWidth="1"/>
    <col min="3359" max="3359" width="3.85546875" style="1" customWidth="1"/>
    <col min="3360" max="3360" width="3.140625" style="1" customWidth="1"/>
    <col min="3361" max="3361" width="4.42578125" style="1" customWidth="1"/>
    <col min="3362" max="3362" width="3.140625" style="1" customWidth="1"/>
    <col min="3363" max="3363" width="7.7109375" style="1" customWidth="1"/>
    <col min="3364" max="3365" width="3.140625" style="1" customWidth="1"/>
    <col min="3366" max="3584" width="11.28515625" style="1"/>
    <col min="3585" max="3585" width="5.7109375" style="1" customWidth="1"/>
    <col min="3586" max="3586" width="6.28515625" style="1" customWidth="1"/>
    <col min="3587" max="3611" width="6.140625" style="1" customWidth="1"/>
    <col min="3612" max="3612" width="4.42578125" style="1" customWidth="1"/>
    <col min="3613" max="3614" width="3.140625" style="1" customWidth="1"/>
    <col min="3615" max="3615" width="3.85546875" style="1" customWidth="1"/>
    <col min="3616" max="3616" width="3.140625" style="1" customWidth="1"/>
    <col min="3617" max="3617" width="4.42578125" style="1" customWidth="1"/>
    <col min="3618" max="3618" width="3.140625" style="1" customWidth="1"/>
    <col min="3619" max="3619" width="7.7109375" style="1" customWidth="1"/>
    <col min="3620" max="3621" width="3.140625" style="1" customWidth="1"/>
    <col min="3622" max="3840" width="11.28515625" style="1"/>
    <col min="3841" max="3841" width="5.7109375" style="1" customWidth="1"/>
    <col min="3842" max="3842" width="6.28515625" style="1" customWidth="1"/>
    <col min="3843" max="3867" width="6.140625" style="1" customWidth="1"/>
    <col min="3868" max="3868" width="4.42578125" style="1" customWidth="1"/>
    <col min="3869" max="3870" width="3.140625" style="1" customWidth="1"/>
    <col min="3871" max="3871" width="3.85546875" style="1" customWidth="1"/>
    <col min="3872" max="3872" width="3.140625" style="1" customWidth="1"/>
    <col min="3873" max="3873" width="4.42578125" style="1" customWidth="1"/>
    <col min="3874" max="3874" width="3.140625" style="1" customWidth="1"/>
    <col min="3875" max="3875" width="7.7109375" style="1" customWidth="1"/>
    <col min="3876" max="3877" width="3.140625" style="1" customWidth="1"/>
    <col min="3878" max="4096" width="11.28515625" style="1"/>
    <col min="4097" max="4097" width="5.7109375" style="1" customWidth="1"/>
    <col min="4098" max="4098" width="6.28515625" style="1" customWidth="1"/>
    <col min="4099" max="4123" width="6.140625" style="1" customWidth="1"/>
    <col min="4124" max="4124" width="4.42578125" style="1" customWidth="1"/>
    <col min="4125" max="4126" width="3.140625" style="1" customWidth="1"/>
    <col min="4127" max="4127" width="3.85546875" style="1" customWidth="1"/>
    <col min="4128" max="4128" width="3.140625" style="1" customWidth="1"/>
    <col min="4129" max="4129" width="4.42578125" style="1" customWidth="1"/>
    <col min="4130" max="4130" width="3.140625" style="1" customWidth="1"/>
    <col min="4131" max="4131" width="7.7109375" style="1" customWidth="1"/>
    <col min="4132" max="4133" width="3.140625" style="1" customWidth="1"/>
    <col min="4134" max="4352" width="11.28515625" style="1"/>
    <col min="4353" max="4353" width="5.7109375" style="1" customWidth="1"/>
    <col min="4354" max="4354" width="6.28515625" style="1" customWidth="1"/>
    <col min="4355" max="4379" width="6.140625" style="1" customWidth="1"/>
    <col min="4380" max="4380" width="4.42578125" style="1" customWidth="1"/>
    <col min="4381" max="4382" width="3.140625" style="1" customWidth="1"/>
    <col min="4383" max="4383" width="3.85546875" style="1" customWidth="1"/>
    <col min="4384" max="4384" width="3.140625" style="1" customWidth="1"/>
    <col min="4385" max="4385" width="4.42578125" style="1" customWidth="1"/>
    <col min="4386" max="4386" width="3.140625" style="1" customWidth="1"/>
    <col min="4387" max="4387" width="7.7109375" style="1" customWidth="1"/>
    <col min="4388" max="4389" width="3.140625" style="1" customWidth="1"/>
    <col min="4390" max="4608" width="11.28515625" style="1"/>
    <col min="4609" max="4609" width="5.7109375" style="1" customWidth="1"/>
    <col min="4610" max="4610" width="6.28515625" style="1" customWidth="1"/>
    <col min="4611" max="4635" width="6.140625" style="1" customWidth="1"/>
    <col min="4636" max="4636" width="4.42578125" style="1" customWidth="1"/>
    <col min="4637" max="4638" width="3.140625" style="1" customWidth="1"/>
    <col min="4639" max="4639" width="3.85546875" style="1" customWidth="1"/>
    <col min="4640" max="4640" width="3.140625" style="1" customWidth="1"/>
    <col min="4641" max="4641" width="4.42578125" style="1" customWidth="1"/>
    <col min="4642" max="4642" width="3.140625" style="1" customWidth="1"/>
    <col min="4643" max="4643" width="7.7109375" style="1" customWidth="1"/>
    <col min="4644" max="4645" width="3.140625" style="1" customWidth="1"/>
    <col min="4646" max="4864" width="11.28515625" style="1"/>
    <col min="4865" max="4865" width="5.7109375" style="1" customWidth="1"/>
    <col min="4866" max="4866" width="6.28515625" style="1" customWidth="1"/>
    <col min="4867" max="4891" width="6.140625" style="1" customWidth="1"/>
    <col min="4892" max="4892" width="4.42578125" style="1" customWidth="1"/>
    <col min="4893" max="4894" width="3.140625" style="1" customWidth="1"/>
    <col min="4895" max="4895" width="3.85546875" style="1" customWidth="1"/>
    <col min="4896" max="4896" width="3.140625" style="1" customWidth="1"/>
    <col min="4897" max="4897" width="4.42578125" style="1" customWidth="1"/>
    <col min="4898" max="4898" width="3.140625" style="1" customWidth="1"/>
    <col min="4899" max="4899" width="7.7109375" style="1" customWidth="1"/>
    <col min="4900" max="4901" width="3.140625" style="1" customWidth="1"/>
    <col min="4902" max="5120" width="11.28515625" style="1"/>
    <col min="5121" max="5121" width="5.7109375" style="1" customWidth="1"/>
    <col min="5122" max="5122" width="6.28515625" style="1" customWidth="1"/>
    <col min="5123" max="5147" width="6.140625" style="1" customWidth="1"/>
    <col min="5148" max="5148" width="4.42578125" style="1" customWidth="1"/>
    <col min="5149" max="5150" width="3.140625" style="1" customWidth="1"/>
    <col min="5151" max="5151" width="3.85546875" style="1" customWidth="1"/>
    <col min="5152" max="5152" width="3.140625" style="1" customWidth="1"/>
    <col min="5153" max="5153" width="4.42578125" style="1" customWidth="1"/>
    <col min="5154" max="5154" width="3.140625" style="1" customWidth="1"/>
    <col min="5155" max="5155" width="7.7109375" style="1" customWidth="1"/>
    <col min="5156" max="5157" width="3.140625" style="1" customWidth="1"/>
    <col min="5158" max="5376" width="11.28515625" style="1"/>
    <col min="5377" max="5377" width="5.7109375" style="1" customWidth="1"/>
    <col min="5378" max="5378" width="6.28515625" style="1" customWidth="1"/>
    <col min="5379" max="5403" width="6.140625" style="1" customWidth="1"/>
    <col min="5404" max="5404" width="4.42578125" style="1" customWidth="1"/>
    <col min="5405" max="5406" width="3.140625" style="1" customWidth="1"/>
    <col min="5407" max="5407" width="3.85546875" style="1" customWidth="1"/>
    <col min="5408" max="5408" width="3.140625" style="1" customWidth="1"/>
    <col min="5409" max="5409" width="4.42578125" style="1" customWidth="1"/>
    <col min="5410" max="5410" width="3.140625" style="1" customWidth="1"/>
    <col min="5411" max="5411" width="7.7109375" style="1" customWidth="1"/>
    <col min="5412" max="5413" width="3.140625" style="1" customWidth="1"/>
    <col min="5414" max="5632" width="11.28515625" style="1"/>
    <col min="5633" max="5633" width="5.7109375" style="1" customWidth="1"/>
    <col min="5634" max="5634" width="6.28515625" style="1" customWidth="1"/>
    <col min="5635" max="5659" width="6.140625" style="1" customWidth="1"/>
    <col min="5660" max="5660" width="4.42578125" style="1" customWidth="1"/>
    <col min="5661" max="5662" width="3.140625" style="1" customWidth="1"/>
    <col min="5663" max="5663" width="3.85546875" style="1" customWidth="1"/>
    <col min="5664" max="5664" width="3.140625" style="1" customWidth="1"/>
    <col min="5665" max="5665" width="4.42578125" style="1" customWidth="1"/>
    <col min="5666" max="5666" width="3.140625" style="1" customWidth="1"/>
    <col min="5667" max="5667" width="7.7109375" style="1" customWidth="1"/>
    <col min="5668" max="5669" width="3.140625" style="1" customWidth="1"/>
    <col min="5670" max="5888" width="11.28515625" style="1"/>
    <col min="5889" max="5889" width="5.7109375" style="1" customWidth="1"/>
    <col min="5890" max="5890" width="6.28515625" style="1" customWidth="1"/>
    <col min="5891" max="5915" width="6.140625" style="1" customWidth="1"/>
    <col min="5916" max="5916" width="4.42578125" style="1" customWidth="1"/>
    <col min="5917" max="5918" width="3.140625" style="1" customWidth="1"/>
    <col min="5919" max="5919" width="3.85546875" style="1" customWidth="1"/>
    <col min="5920" max="5920" width="3.140625" style="1" customWidth="1"/>
    <col min="5921" max="5921" width="4.42578125" style="1" customWidth="1"/>
    <col min="5922" max="5922" width="3.140625" style="1" customWidth="1"/>
    <col min="5923" max="5923" width="7.7109375" style="1" customWidth="1"/>
    <col min="5924" max="5925" width="3.140625" style="1" customWidth="1"/>
    <col min="5926" max="6144" width="11.28515625" style="1"/>
    <col min="6145" max="6145" width="5.7109375" style="1" customWidth="1"/>
    <col min="6146" max="6146" width="6.28515625" style="1" customWidth="1"/>
    <col min="6147" max="6171" width="6.140625" style="1" customWidth="1"/>
    <col min="6172" max="6172" width="4.42578125" style="1" customWidth="1"/>
    <col min="6173" max="6174" width="3.140625" style="1" customWidth="1"/>
    <col min="6175" max="6175" width="3.85546875" style="1" customWidth="1"/>
    <col min="6176" max="6176" width="3.140625" style="1" customWidth="1"/>
    <col min="6177" max="6177" width="4.42578125" style="1" customWidth="1"/>
    <col min="6178" max="6178" width="3.140625" style="1" customWidth="1"/>
    <col min="6179" max="6179" width="7.7109375" style="1" customWidth="1"/>
    <col min="6180" max="6181" width="3.140625" style="1" customWidth="1"/>
    <col min="6182" max="6400" width="11.28515625" style="1"/>
    <col min="6401" max="6401" width="5.7109375" style="1" customWidth="1"/>
    <col min="6402" max="6402" width="6.28515625" style="1" customWidth="1"/>
    <col min="6403" max="6427" width="6.140625" style="1" customWidth="1"/>
    <col min="6428" max="6428" width="4.42578125" style="1" customWidth="1"/>
    <col min="6429" max="6430" width="3.140625" style="1" customWidth="1"/>
    <col min="6431" max="6431" width="3.85546875" style="1" customWidth="1"/>
    <col min="6432" max="6432" width="3.140625" style="1" customWidth="1"/>
    <col min="6433" max="6433" width="4.42578125" style="1" customWidth="1"/>
    <col min="6434" max="6434" width="3.140625" style="1" customWidth="1"/>
    <col min="6435" max="6435" width="7.7109375" style="1" customWidth="1"/>
    <col min="6436" max="6437" width="3.140625" style="1" customWidth="1"/>
    <col min="6438" max="6656" width="11.28515625" style="1"/>
    <col min="6657" max="6657" width="5.7109375" style="1" customWidth="1"/>
    <col min="6658" max="6658" width="6.28515625" style="1" customWidth="1"/>
    <col min="6659" max="6683" width="6.140625" style="1" customWidth="1"/>
    <col min="6684" max="6684" width="4.42578125" style="1" customWidth="1"/>
    <col min="6685" max="6686" width="3.140625" style="1" customWidth="1"/>
    <col min="6687" max="6687" width="3.85546875" style="1" customWidth="1"/>
    <col min="6688" max="6688" width="3.140625" style="1" customWidth="1"/>
    <col min="6689" max="6689" width="4.42578125" style="1" customWidth="1"/>
    <col min="6690" max="6690" width="3.140625" style="1" customWidth="1"/>
    <col min="6691" max="6691" width="7.7109375" style="1" customWidth="1"/>
    <col min="6692" max="6693" width="3.140625" style="1" customWidth="1"/>
    <col min="6694" max="6912" width="11.28515625" style="1"/>
    <col min="6913" max="6913" width="5.7109375" style="1" customWidth="1"/>
    <col min="6914" max="6914" width="6.28515625" style="1" customWidth="1"/>
    <col min="6915" max="6939" width="6.140625" style="1" customWidth="1"/>
    <col min="6940" max="6940" width="4.42578125" style="1" customWidth="1"/>
    <col min="6941" max="6942" width="3.140625" style="1" customWidth="1"/>
    <col min="6943" max="6943" width="3.85546875" style="1" customWidth="1"/>
    <col min="6944" max="6944" width="3.140625" style="1" customWidth="1"/>
    <col min="6945" max="6945" width="4.42578125" style="1" customWidth="1"/>
    <col min="6946" max="6946" width="3.140625" style="1" customWidth="1"/>
    <col min="6947" max="6947" width="7.7109375" style="1" customWidth="1"/>
    <col min="6948" max="6949" width="3.140625" style="1" customWidth="1"/>
    <col min="6950" max="7168" width="11.28515625" style="1"/>
    <col min="7169" max="7169" width="5.7109375" style="1" customWidth="1"/>
    <col min="7170" max="7170" width="6.28515625" style="1" customWidth="1"/>
    <col min="7171" max="7195" width="6.140625" style="1" customWidth="1"/>
    <col min="7196" max="7196" width="4.42578125" style="1" customWidth="1"/>
    <col min="7197" max="7198" width="3.140625" style="1" customWidth="1"/>
    <col min="7199" max="7199" width="3.85546875" style="1" customWidth="1"/>
    <col min="7200" max="7200" width="3.140625" style="1" customWidth="1"/>
    <col min="7201" max="7201" width="4.42578125" style="1" customWidth="1"/>
    <col min="7202" max="7202" width="3.140625" style="1" customWidth="1"/>
    <col min="7203" max="7203" width="7.7109375" style="1" customWidth="1"/>
    <col min="7204" max="7205" width="3.140625" style="1" customWidth="1"/>
    <col min="7206" max="7424" width="11.28515625" style="1"/>
    <col min="7425" max="7425" width="5.7109375" style="1" customWidth="1"/>
    <col min="7426" max="7426" width="6.28515625" style="1" customWidth="1"/>
    <col min="7427" max="7451" width="6.140625" style="1" customWidth="1"/>
    <col min="7452" max="7452" width="4.42578125" style="1" customWidth="1"/>
    <col min="7453" max="7454" width="3.140625" style="1" customWidth="1"/>
    <col min="7455" max="7455" width="3.85546875" style="1" customWidth="1"/>
    <col min="7456" max="7456" width="3.140625" style="1" customWidth="1"/>
    <col min="7457" max="7457" width="4.42578125" style="1" customWidth="1"/>
    <col min="7458" max="7458" width="3.140625" style="1" customWidth="1"/>
    <col min="7459" max="7459" width="7.7109375" style="1" customWidth="1"/>
    <col min="7460" max="7461" width="3.140625" style="1" customWidth="1"/>
    <col min="7462" max="7680" width="11.28515625" style="1"/>
    <col min="7681" max="7681" width="5.7109375" style="1" customWidth="1"/>
    <col min="7682" max="7682" width="6.28515625" style="1" customWidth="1"/>
    <col min="7683" max="7707" width="6.140625" style="1" customWidth="1"/>
    <col min="7708" max="7708" width="4.42578125" style="1" customWidth="1"/>
    <col min="7709" max="7710" width="3.140625" style="1" customWidth="1"/>
    <col min="7711" max="7711" width="3.85546875" style="1" customWidth="1"/>
    <col min="7712" max="7712" width="3.140625" style="1" customWidth="1"/>
    <col min="7713" max="7713" width="4.42578125" style="1" customWidth="1"/>
    <col min="7714" max="7714" width="3.140625" style="1" customWidth="1"/>
    <col min="7715" max="7715" width="7.7109375" style="1" customWidth="1"/>
    <col min="7716" max="7717" width="3.140625" style="1" customWidth="1"/>
    <col min="7718" max="7936" width="11.28515625" style="1"/>
    <col min="7937" max="7937" width="5.7109375" style="1" customWidth="1"/>
    <col min="7938" max="7938" width="6.28515625" style="1" customWidth="1"/>
    <col min="7939" max="7963" width="6.140625" style="1" customWidth="1"/>
    <col min="7964" max="7964" width="4.42578125" style="1" customWidth="1"/>
    <col min="7965" max="7966" width="3.140625" style="1" customWidth="1"/>
    <col min="7967" max="7967" width="3.85546875" style="1" customWidth="1"/>
    <col min="7968" max="7968" width="3.140625" style="1" customWidth="1"/>
    <col min="7969" max="7969" width="4.42578125" style="1" customWidth="1"/>
    <col min="7970" max="7970" width="3.140625" style="1" customWidth="1"/>
    <col min="7971" max="7971" width="7.7109375" style="1" customWidth="1"/>
    <col min="7972" max="7973" width="3.140625" style="1" customWidth="1"/>
    <col min="7974" max="8192" width="11.28515625" style="1"/>
    <col min="8193" max="8193" width="5.7109375" style="1" customWidth="1"/>
    <col min="8194" max="8194" width="6.28515625" style="1" customWidth="1"/>
    <col min="8195" max="8219" width="6.140625" style="1" customWidth="1"/>
    <col min="8220" max="8220" width="4.42578125" style="1" customWidth="1"/>
    <col min="8221" max="8222" width="3.140625" style="1" customWidth="1"/>
    <col min="8223" max="8223" width="3.85546875" style="1" customWidth="1"/>
    <col min="8224" max="8224" width="3.140625" style="1" customWidth="1"/>
    <col min="8225" max="8225" width="4.42578125" style="1" customWidth="1"/>
    <col min="8226" max="8226" width="3.140625" style="1" customWidth="1"/>
    <col min="8227" max="8227" width="7.7109375" style="1" customWidth="1"/>
    <col min="8228" max="8229" width="3.140625" style="1" customWidth="1"/>
    <col min="8230" max="8448" width="11.28515625" style="1"/>
    <col min="8449" max="8449" width="5.7109375" style="1" customWidth="1"/>
    <col min="8450" max="8450" width="6.28515625" style="1" customWidth="1"/>
    <col min="8451" max="8475" width="6.140625" style="1" customWidth="1"/>
    <col min="8476" max="8476" width="4.42578125" style="1" customWidth="1"/>
    <col min="8477" max="8478" width="3.140625" style="1" customWidth="1"/>
    <col min="8479" max="8479" width="3.85546875" style="1" customWidth="1"/>
    <col min="8480" max="8480" width="3.140625" style="1" customWidth="1"/>
    <col min="8481" max="8481" width="4.42578125" style="1" customWidth="1"/>
    <col min="8482" max="8482" width="3.140625" style="1" customWidth="1"/>
    <col min="8483" max="8483" width="7.7109375" style="1" customWidth="1"/>
    <col min="8484" max="8485" width="3.140625" style="1" customWidth="1"/>
    <col min="8486" max="8704" width="11.28515625" style="1"/>
    <col min="8705" max="8705" width="5.7109375" style="1" customWidth="1"/>
    <col min="8706" max="8706" width="6.28515625" style="1" customWidth="1"/>
    <col min="8707" max="8731" width="6.140625" style="1" customWidth="1"/>
    <col min="8732" max="8732" width="4.42578125" style="1" customWidth="1"/>
    <col min="8733" max="8734" width="3.140625" style="1" customWidth="1"/>
    <col min="8735" max="8735" width="3.85546875" style="1" customWidth="1"/>
    <col min="8736" max="8736" width="3.140625" style="1" customWidth="1"/>
    <col min="8737" max="8737" width="4.42578125" style="1" customWidth="1"/>
    <col min="8738" max="8738" width="3.140625" style="1" customWidth="1"/>
    <col min="8739" max="8739" width="7.7109375" style="1" customWidth="1"/>
    <col min="8740" max="8741" width="3.140625" style="1" customWidth="1"/>
    <col min="8742" max="8960" width="11.28515625" style="1"/>
    <col min="8961" max="8961" width="5.7109375" style="1" customWidth="1"/>
    <col min="8962" max="8962" width="6.28515625" style="1" customWidth="1"/>
    <col min="8963" max="8987" width="6.140625" style="1" customWidth="1"/>
    <col min="8988" max="8988" width="4.42578125" style="1" customWidth="1"/>
    <col min="8989" max="8990" width="3.140625" style="1" customWidth="1"/>
    <col min="8991" max="8991" width="3.85546875" style="1" customWidth="1"/>
    <col min="8992" max="8992" width="3.140625" style="1" customWidth="1"/>
    <col min="8993" max="8993" width="4.42578125" style="1" customWidth="1"/>
    <col min="8994" max="8994" width="3.140625" style="1" customWidth="1"/>
    <col min="8995" max="8995" width="7.7109375" style="1" customWidth="1"/>
    <col min="8996" max="8997" width="3.140625" style="1" customWidth="1"/>
    <col min="8998" max="9216" width="11.28515625" style="1"/>
    <col min="9217" max="9217" width="5.7109375" style="1" customWidth="1"/>
    <col min="9218" max="9218" width="6.28515625" style="1" customWidth="1"/>
    <col min="9219" max="9243" width="6.140625" style="1" customWidth="1"/>
    <col min="9244" max="9244" width="4.42578125" style="1" customWidth="1"/>
    <col min="9245" max="9246" width="3.140625" style="1" customWidth="1"/>
    <col min="9247" max="9247" width="3.85546875" style="1" customWidth="1"/>
    <col min="9248" max="9248" width="3.140625" style="1" customWidth="1"/>
    <col min="9249" max="9249" width="4.42578125" style="1" customWidth="1"/>
    <col min="9250" max="9250" width="3.140625" style="1" customWidth="1"/>
    <col min="9251" max="9251" width="7.7109375" style="1" customWidth="1"/>
    <col min="9252" max="9253" width="3.140625" style="1" customWidth="1"/>
    <col min="9254" max="9472" width="11.28515625" style="1"/>
    <col min="9473" max="9473" width="5.7109375" style="1" customWidth="1"/>
    <col min="9474" max="9474" width="6.28515625" style="1" customWidth="1"/>
    <col min="9475" max="9499" width="6.140625" style="1" customWidth="1"/>
    <col min="9500" max="9500" width="4.42578125" style="1" customWidth="1"/>
    <col min="9501" max="9502" width="3.140625" style="1" customWidth="1"/>
    <col min="9503" max="9503" width="3.85546875" style="1" customWidth="1"/>
    <col min="9504" max="9504" width="3.140625" style="1" customWidth="1"/>
    <col min="9505" max="9505" width="4.42578125" style="1" customWidth="1"/>
    <col min="9506" max="9506" width="3.140625" style="1" customWidth="1"/>
    <col min="9507" max="9507" width="7.7109375" style="1" customWidth="1"/>
    <col min="9508" max="9509" width="3.140625" style="1" customWidth="1"/>
    <col min="9510" max="9728" width="11.28515625" style="1"/>
    <col min="9729" max="9729" width="5.7109375" style="1" customWidth="1"/>
    <col min="9730" max="9730" width="6.28515625" style="1" customWidth="1"/>
    <col min="9731" max="9755" width="6.140625" style="1" customWidth="1"/>
    <col min="9756" max="9756" width="4.42578125" style="1" customWidth="1"/>
    <col min="9757" max="9758" width="3.140625" style="1" customWidth="1"/>
    <col min="9759" max="9759" width="3.85546875" style="1" customWidth="1"/>
    <col min="9760" max="9760" width="3.140625" style="1" customWidth="1"/>
    <col min="9761" max="9761" width="4.42578125" style="1" customWidth="1"/>
    <col min="9762" max="9762" width="3.140625" style="1" customWidth="1"/>
    <col min="9763" max="9763" width="7.7109375" style="1" customWidth="1"/>
    <col min="9764" max="9765" width="3.140625" style="1" customWidth="1"/>
    <col min="9766" max="9984" width="11.28515625" style="1"/>
    <col min="9985" max="9985" width="5.7109375" style="1" customWidth="1"/>
    <col min="9986" max="9986" width="6.28515625" style="1" customWidth="1"/>
    <col min="9987" max="10011" width="6.140625" style="1" customWidth="1"/>
    <col min="10012" max="10012" width="4.42578125" style="1" customWidth="1"/>
    <col min="10013" max="10014" width="3.140625" style="1" customWidth="1"/>
    <col min="10015" max="10015" width="3.85546875" style="1" customWidth="1"/>
    <col min="10016" max="10016" width="3.140625" style="1" customWidth="1"/>
    <col min="10017" max="10017" width="4.42578125" style="1" customWidth="1"/>
    <col min="10018" max="10018" width="3.140625" style="1" customWidth="1"/>
    <col min="10019" max="10019" width="7.7109375" style="1" customWidth="1"/>
    <col min="10020" max="10021" width="3.140625" style="1" customWidth="1"/>
    <col min="10022" max="10240" width="11.28515625" style="1"/>
    <col min="10241" max="10241" width="5.7109375" style="1" customWidth="1"/>
    <col min="10242" max="10242" width="6.28515625" style="1" customWidth="1"/>
    <col min="10243" max="10267" width="6.140625" style="1" customWidth="1"/>
    <col min="10268" max="10268" width="4.42578125" style="1" customWidth="1"/>
    <col min="10269" max="10270" width="3.140625" style="1" customWidth="1"/>
    <col min="10271" max="10271" width="3.85546875" style="1" customWidth="1"/>
    <col min="10272" max="10272" width="3.140625" style="1" customWidth="1"/>
    <col min="10273" max="10273" width="4.42578125" style="1" customWidth="1"/>
    <col min="10274" max="10274" width="3.140625" style="1" customWidth="1"/>
    <col min="10275" max="10275" width="7.7109375" style="1" customWidth="1"/>
    <col min="10276" max="10277" width="3.140625" style="1" customWidth="1"/>
    <col min="10278" max="10496" width="11.28515625" style="1"/>
    <col min="10497" max="10497" width="5.7109375" style="1" customWidth="1"/>
    <col min="10498" max="10498" width="6.28515625" style="1" customWidth="1"/>
    <col min="10499" max="10523" width="6.140625" style="1" customWidth="1"/>
    <col min="10524" max="10524" width="4.42578125" style="1" customWidth="1"/>
    <col min="10525" max="10526" width="3.140625" style="1" customWidth="1"/>
    <col min="10527" max="10527" width="3.85546875" style="1" customWidth="1"/>
    <col min="10528" max="10528" width="3.140625" style="1" customWidth="1"/>
    <col min="10529" max="10529" width="4.42578125" style="1" customWidth="1"/>
    <col min="10530" max="10530" width="3.140625" style="1" customWidth="1"/>
    <col min="10531" max="10531" width="7.7109375" style="1" customWidth="1"/>
    <col min="10532" max="10533" width="3.140625" style="1" customWidth="1"/>
    <col min="10534" max="10752" width="11.28515625" style="1"/>
    <col min="10753" max="10753" width="5.7109375" style="1" customWidth="1"/>
    <col min="10754" max="10754" width="6.28515625" style="1" customWidth="1"/>
    <col min="10755" max="10779" width="6.140625" style="1" customWidth="1"/>
    <col min="10780" max="10780" width="4.42578125" style="1" customWidth="1"/>
    <col min="10781" max="10782" width="3.140625" style="1" customWidth="1"/>
    <col min="10783" max="10783" width="3.85546875" style="1" customWidth="1"/>
    <col min="10784" max="10784" width="3.140625" style="1" customWidth="1"/>
    <col min="10785" max="10785" width="4.42578125" style="1" customWidth="1"/>
    <col min="10786" max="10786" width="3.140625" style="1" customWidth="1"/>
    <col min="10787" max="10787" width="7.7109375" style="1" customWidth="1"/>
    <col min="10788" max="10789" width="3.140625" style="1" customWidth="1"/>
    <col min="10790" max="11008" width="11.28515625" style="1"/>
    <col min="11009" max="11009" width="5.7109375" style="1" customWidth="1"/>
    <col min="11010" max="11010" width="6.28515625" style="1" customWidth="1"/>
    <col min="11011" max="11035" width="6.140625" style="1" customWidth="1"/>
    <col min="11036" max="11036" width="4.42578125" style="1" customWidth="1"/>
    <col min="11037" max="11038" width="3.140625" style="1" customWidth="1"/>
    <col min="11039" max="11039" width="3.85546875" style="1" customWidth="1"/>
    <col min="11040" max="11040" width="3.140625" style="1" customWidth="1"/>
    <col min="11041" max="11041" width="4.42578125" style="1" customWidth="1"/>
    <col min="11042" max="11042" width="3.140625" style="1" customWidth="1"/>
    <col min="11043" max="11043" width="7.7109375" style="1" customWidth="1"/>
    <col min="11044" max="11045" width="3.140625" style="1" customWidth="1"/>
    <col min="11046" max="11264" width="11.28515625" style="1"/>
    <col min="11265" max="11265" width="5.7109375" style="1" customWidth="1"/>
    <col min="11266" max="11266" width="6.28515625" style="1" customWidth="1"/>
    <col min="11267" max="11291" width="6.140625" style="1" customWidth="1"/>
    <col min="11292" max="11292" width="4.42578125" style="1" customWidth="1"/>
    <col min="11293" max="11294" width="3.140625" style="1" customWidth="1"/>
    <col min="11295" max="11295" width="3.85546875" style="1" customWidth="1"/>
    <col min="11296" max="11296" width="3.140625" style="1" customWidth="1"/>
    <col min="11297" max="11297" width="4.42578125" style="1" customWidth="1"/>
    <col min="11298" max="11298" width="3.140625" style="1" customWidth="1"/>
    <col min="11299" max="11299" width="7.7109375" style="1" customWidth="1"/>
    <col min="11300" max="11301" width="3.140625" style="1" customWidth="1"/>
    <col min="11302" max="11520" width="11.28515625" style="1"/>
    <col min="11521" max="11521" width="5.7109375" style="1" customWidth="1"/>
    <col min="11522" max="11522" width="6.28515625" style="1" customWidth="1"/>
    <col min="11523" max="11547" width="6.140625" style="1" customWidth="1"/>
    <col min="11548" max="11548" width="4.42578125" style="1" customWidth="1"/>
    <col min="11549" max="11550" width="3.140625" style="1" customWidth="1"/>
    <col min="11551" max="11551" width="3.85546875" style="1" customWidth="1"/>
    <col min="11552" max="11552" width="3.140625" style="1" customWidth="1"/>
    <col min="11553" max="11553" width="4.42578125" style="1" customWidth="1"/>
    <col min="11554" max="11554" width="3.140625" style="1" customWidth="1"/>
    <col min="11555" max="11555" width="7.7109375" style="1" customWidth="1"/>
    <col min="11556" max="11557" width="3.140625" style="1" customWidth="1"/>
    <col min="11558" max="11776" width="11.28515625" style="1"/>
    <col min="11777" max="11777" width="5.7109375" style="1" customWidth="1"/>
    <col min="11778" max="11778" width="6.28515625" style="1" customWidth="1"/>
    <col min="11779" max="11803" width="6.140625" style="1" customWidth="1"/>
    <col min="11804" max="11804" width="4.42578125" style="1" customWidth="1"/>
    <col min="11805" max="11806" width="3.140625" style="1" customWidth="1"/>
    <col min="11807" max="11807" width="3.85546875" style="1" customWidth="1"/>
    <col min="11808" max="11808" width="3.140625" style="1" customWidth="1"/>
    <col min="11809" max="11809" width="4.42578125" style="1" customWidth="1"/>
    <col min="11810" max="11810" width="3.140625" style="1" customWidth="1"/>
    <col min="11811" max="11811" width="7.7109375" style="1" customWidth="1"/>
    <col min="11812" max="11813" width="3.140625" style="1" customWidth="1"/>
    <col min="11814" max="12032" width="11.28515625" style="1"/>
    <col min="12033" max="12033" width="5.7109375" style="1" customWidth="1"/>
    <col min="12034" max="12034" width="6.28515625" style="1" customWidth="1"/>
    <col min="12035" max="12059" width="6.140625" style="1" customWidth="1"/>
    <col min="12060" max="12060" width="4.42578125" style="1" customWidth="1"/>
    <col min="12061" max="12062" width="3.140625" style="1" customWidth="1"/>
    <col min="12063" max="12063" width="3.85546875" style="1" customWidth="1"/>
    <col min="12064" max="12064" width="3.140625" style="1" customWidth="1"/>
    <col min="12065" max="12065" width="4.42578125" style="1" customWidth="1"/>
    <col min="12066" max="12066" width="3.140625" style="1" customWidth="1"/>
    <col min="12067" max="12067" width="7.7109375" style="1" customWidth="1"/>
    <col min="12068" max="12069" width="3.140625" style="1" customWidth="1"/>
    <col min="12070" max="12288" width="11.28515625" style="1"/>
    <col min="12289" max="12289" width="5.7109375" style="1" customWidth="1"/>
    <col min="12290" max="12290" width="6.28515625" style="1" customWidth="1"/>
    <col min="12291" max="12315" width="6.140625" style="1" customWidth="1"/>
    <col min="12316" max="12316" width="4.42578125" style="1" customWidth="1"/>
    <col min="12317" max="12318" width="3.140625" style="1" customWidth="1"/>
    <col min="12319" max="12319" width="3.85546875" style="1" customWidth="1"/>
    <col min="12320" max="12320" width="3.140625" style="1" customWidth="1"/>
    <col min="12321" max="12321" width="4.42578125" style="1" customWidth="1"/>
    <col min="12322" max="12322" width="3.140625" style="1" customWidth="1"/>
    <col min="12323" max="12323" width="7.7109375" style="1" customWidth="1"/>
    <col min="12324" max="12325" width="3.140625" style="1" customWidth="1"/>
    <col min="12326" max="12544" width="11.28515625" style="1"/>
    <col min="12545" max="12545" width="5.7109375" style="1" customWidth="1"/>
    <col min="12546" max="12546" width="6.28515625" style="1" customWidth="1"/>
    <col min="12547" max="12571" width="6.140625" style="1" customWidth="1"/>
    <col min="12572" max="12572" width="4.42578125" style="1" customWidth="1"/>
    <col min="12573" max="12574" width="3.140625" style="1" customWidth="1"/>
    <col min="12575" max="12575" width="3.85546875" style="1" customWidth="1"/>
    <col min="12576" max="12576" width="3.140625" style="1" customWidth="1"/>
    <col min="12577" max="12577" width="4.42578125" style="1" customWidth="1"/>
    <col min="12578" max="12578" width="3.140625" style="1" customWidth="1"/>
    <col min="12579" max="12579" width="7.7109375" style="1" customWidth="1"/>
    <col min="12580" max="12581" width="3.140625" style="1" customWidth="1"/>
    <col min="12582" max="12800" width="11.28515625" style="1"/>
    <col min="12801" max="12801" width="5.7109375" style="1" customWidth="1"/>
    <col min="12802" max="12802" width="6.28515625" style="1" customWidth="1"/>
    <col min="12803" max="12827" width="6.140625" style="1" customWidth="1"/>
    <col min="12828" max="12828" width="4.42578125" style="1" customWidth="1"/>
    <col min="12829" max="12830" width="3.140625" style="1" customWidth="1"/>
    <col min="12831" max="12831" width="3.85546875" style="1" customWidth="1"/>
    <col min="12832" max="12832" width="3.140625" style="1" customWidth="1"/>
    <col min="12833" max="12833" width="4.42578125" style="1" customWidth="1"/>
    <col min="12834" max="12834" width="3.140625" style="1" customWidth="1"/>
    <col min="12835" max="12835" width="7.7109375" style="1" customWidth="1"/>
    <col min="12836" max="12837" width="3.140625" style="1" customWidth="1"/>
    <col min="12838" max="13056" width="11.28515625" style="1"/>
    <col min="13057" max="13057" width="5.7109375" style="1" customWidth="1"/>
    <col min="13058" max="13058" width="6.28515625" style="1" customWidth="1"/>
    <col min="13059" max="13083" width="6.140625" style="1" customWidth="1"/>
    <col min="13084" max="13084" width="4.42578125" style="1" customWidth="1"/>
    <col min="13085" max="13086" width="3.140625" style="1" customWidth="1"/>
    <col min="13087" max="13087" width="3.85546875" style="1" customWidth="1"/>
    <col min="13088" max="13088" width="3.140625" style="1" customWidth="1"/>
    <col min="13089" max="13089" width="4.42578125" style="1" customWidth="1"/>
    <col min="13090" max="13090" width="3.140625" style="1" customWidth="1"/>
    <col min="13091" max="13091" width="7.7109375" style="1" customWidth="1"/>
    <col min="13092" max="13093" width="3.140625" style="1" customWidth="1"/>
    <col min="13094" max="13312" width="11.28515625" style="1"/>
    <col min="13313" max="13313" width="5.7109375" style="1" customWidth="1"/>
    <col min="13314" max="13314" width="6.28515625" style="1" customWidth="1"/>
    <col min="13315" max="13339" width="6.140625" style="1" customWidth="1"/>
    <col min="13340" max="13340" width="4.42578125" style="1" customWidth="1"/>
    <col min="13341" max="13342" width="3.140625" style="1" customWidth="1"/>
    <col min="13343" max="13343" width="3.85546875" style="1" customWidth="1"/>
    <col min="13344" max="13344" width="3.140625" style="1" customWidth="1"/>
    <col min="13345" max="13345" width="4.42578125" style="1" customWidth="1"/>
    <col min="13346" max="13346" width="3.140625" style="1" customWidth="1"/>
    <col min="13347" max="13347" width="7.7109375" style="1" customWidth="1"/>
    <col min="13348" max="13349" width="3.140625" style="1" customWidth="1"/>
    <col min="13350" max="13568" width="11.28515625" style="1"/>
    <col min="13569" max="13569" width="5.7109375" style="1" customWidth="1"/>
    <col min="13570" max="13570" width="6.28515625" style="1" customWidth="1"/>
    <col min="13571" max="13595" width="6.140625" style="1" customWidth="1"/>
    <col min="13596" max="13596" width="4.42578125" style="1" customWidth="1"/>
    <col min="13597" max="13598" width="3.140625" style="1" customWidth="1"/>
    <col min="13599" max="13599" width="3.85546875" style="1" customWidth="1"/>
    <col min="13600" max="13600" width="3.140625" style="1" customWidth="1"/>
    <col min="13601" max="13601" width="4.42578125" style="1" customWidth="1"/>
    <col min="13602" max="13602" width="3.140625" style="1" customWidth="1"/>
    <col min="13603" max="13603" width="7.7109375" style="1" customWidth="1"/>
    <col min="13604" max="13605" width="3.140625" style="1" customWidth="1"/>
    <col min="13606" max="13824" width="11.28515625" style="1"/>
    <col min="13825" max="13825" width="5.7109375" style="1" customWidth="1"/>
    <col min="13826" max="13826" width="6.28515625" style="1" customWidth="1"/>
    <col min="13827" max="13851" width="6.140625" style="1" customWidth="1"/>
    <col min="13852" max="13852" width="4.42578125" style="1" customWidth="1"/>
    <col min="13853" max="13854" width="3.140625" style="1" customWidth="1"/>
    <col min="13855" max="13855" width="3.85546875" style="1" customWidth="1"/>
    <col min="13856" max="13856" width="3.140625" style="1" customWidth="1"/>
    <col min="13857" max="13857" width="4.42578125" style="1" customWidth="1"/>
    <col min="13858" max="13858" width="3.140625" style="1" customWidth="1"/>
    <col min="13859" max="13859" width="7.7109375" style="1" customWidth="1"/>
    <col min="13860" max="13861" width="3.140625" style="1" customWidth="1"/>
    <col min="13862" max="14080" width="11.28515625" style="1"/>
    <col min="14081" max="14081" width="5.7109375" style="1" customWidth="1"/>
    <col min="14082" max="14082" width="6.28515625" style="1" customWidth="1"/>
    <col min="14083" max="14107" width="6.140625" style="1" customWidth="1"/>
    <col min="14108" max="14108" width="4.42578125" style="1" customWidth="1"/>
    <col min="14109" max="14110" width="3.140625" style="1" customWidth="1"/>
    <col min="14111" max="14111" width="3.85546875" style="1" customWidth="1"/>
    <col min="14112" max="14112" width="3.140625" style="1" customWidth="1"/>
    <col min="14113" max="14113" width="4.42578125" style="1" customWidth="1"/>
    <col min="14114" max="14114" width="3.140625" style="1" customWidth="1"/>
    <col min="14115" max="14115" width="7.7109375" style="1" customWidth="1"/>
    <col min="14116" max="14117" width="3.140625" style="1" customWidth="1"/>
    <col min="14118" max="14336" width="11.28515625" style="1"/>
    <col min="14337" max="14337" width="5.7109375" style="1" customWidth="1"/>
    <col min="14338" max="14338" width="6.28515625" style="1" customWidth="1"/>
    <col min="14339" max="14363" width="6.140625" style="1" customWidth="1"/>
    <col min="14364" max="14364" width="4.42578125" style="1" customWidth="1"/>
    <col min="14365" max="14366" width="3.140625" style="1" customWidth="1"/>
    <col min="14367" max="14367" width="3.85546875" style="1" customWidth="1"/>
    <col min="14368" max="14368" width="3.140625" style="1" customWidth="1"/>
    <col min="14369" max="14369" width="4.42578125" style="1" customWidth="1"/>
    <col min="14370" max="14370" width="3.140625" style="1" customWidth="1"/>
    <col min="14371" max="14371" width="7.7109375" style="1" customWidth="1"/>
    <col min="14372" max="14373" width="3.140625" style="1" customWidth="1"/>
    <col min="14374" max="14592" width="11.28515625" style="1"/>
    <col min="14593" max="14593" width="5.7109375" style="1" customWidth="1"/>
    <col min="14594" max="14594" width="6.28515625" style="1" customWidth="1"/>
    <col min="14595" max="14619" width="6.140625" style="1" customWidth="1"/>
    <col min="14620" max="14620" width="4.42578125" style="1" customWidth="1"/>
    <col min="14621" max="14622" width="3.140625" style="1" customWidth="1"/>
    <col min="14623" max="14623" width="3.85546875" style="1" customWidth="1"/>
    <col min="14624" max="14624" width="3.140625" style="1" customWidth="1"/>
    <col min="14625" max="14625" width="4.42578125" style="1" customWidth="1"/>
    <col min="14626" max="14626" width="3.140625" style="1" customWidth="1"/>
    <col min="14627" max="14627" width="7.7109375" style="1" customWidth="1"/>
    <col min="14628" max="14629" width="3.140625" style="1" customWidth="1"/>
    <col min="14630" max="14848" width="11.28515625" style="1"/>
    <col min="14849" max="14849" width="5.7109375" style="1" customWidth="1"/>
    <col min="14850" max="14850" width="6.28515625" style="1" customWidth="1"/>
    <col min="14851" max="14875" width="6.140625" style="1" customWidth="1"/>
    <col min="14876" max="14876" width="4.42578125" style="1" customWidth="1"/>
    <col min="14877" max="14878" width="3.140625" style="1" customWidth="1"/>
    <col min="14879" max="14879" width="3.85546875" style="1" customWidth="1"/>
    <col min="14880" max="14880" width="3.140625" style="1" customWidth="1"/>
    <col min="14881" max="14881" width="4.42578125" style="1" customWidth="1"/>
    <col min="14882" max="14882" width="3.140625" style="1" customWidth="1"/>
    <col min="14883" max="14883" width="7.7109375" style="1" customWidth="1"/>
    <col min="14884" max="14885" width="3.140625" style="1" customWidth="1"/>
    <col min="14886" max="15104" width="11.28515625" style="1"/>
    <col min="15105" max="15105" width="5.7109375" style="1" customWidth="1"/>
    <col min="15106" max="15106" width="6.28515625" style="1" customWidth="1"/>
    <col min="15107" max="15131" width="6.140625" style="1" customWidth="1"/>
    <col min="15132" max="15132" width="4.42578125" style="1" customWidth="1"/>
    <col min="15133" max="15134" width="3.140625" style="1" customWidth="1"/>
    <col min="15135" max="15135" width="3.85546875" style="1" customWidth="1"/>
    <col min="15136" max="15136" width="3.140625" style="1" customWidth="1"/>
    <col min="15137" max="15137" width="4.42578125" style="1" customWidth="1"/>
    <col min="15138" max="15138" width="3.140625" style="1" customWidth="1"/>
    <col min="15139" max="15139" width="7.7109375" style="1" customWidth="1"/>
    <col min="15140" max="15141" width="3.140625" style="1" customWidth="1"/>
    <col min="15142" max="15360" width="11.28515625" style="1"/>
    <col min="15361" max="15361" width="5.7109375" style="1" customWidth="1"/>
    <col min="15362" max="15362" width="6.28515625" style="1" customWidth="1"/>
    <col min="15363" max="15387" width="6.140625" style="1" customWidth="1"/>
    <col min="15388" max="15388" width="4.42578125" style="1" customWidth="1"/>
    <col min="15389" max="15390" width="3.140625" style="1" customWidth="1"/>
    <col min="15391" max="15391" width="3.85546875" style="1" customWidth="1"/>
    <col min="15392" max="15392" width="3.140625" style="1" customWidth="1"/>
    <col min="15393" max="15393" width="4.42578125" style="1" customWidth="1"/>
    <col min="15394" max="15394" width="3.140625" style="1" customWidth="1"/>
    <col min="15395" max="15395" width="7.7109375" style="1" customWidth="1"/>
    <col min="15396" max="15397" width="3.140625" style="1" customWidth="1"/>
    <col min="15398" max="15616" width="11.28515625" style="1"/>
    <col min="15617" max="15617" width="5.7109375" style="1" customWidth="1"/>
    <col min="15618" max="15618" width="6.28515625" style="1" customWidth="1"/>
    <col min="15619" max="15643" width="6.140625" style="1" customWidth="1"/>
    <col min="15644" max="15644" width="4.42578125" style="1" customWidth="1"/>
    <col min="15645" max="15646" width="3.140625" style="1" customWidth="1"/>
    <col min="15647" max="15647" width="3.85546875" style="1" customWidth="1"/>
    <col min="15648" max="15648" width="3.140625" style="1" customWidth="1"/>
    <col min="15649" max="15649" width="4.42578125" style="1" customWidth="1"/>
    <col min="15650" max="15650" width="3.140625" style="1" customWidth="1"/>
    <col min="15651" max="15651" width="7.7109375" style="1" customWidth="1"/>
    <col min="15652" max="15653" width="3.140625" style="1" customWidth="1"/>
    <col min="15654" max="15872" width="11.28515625" style="1"/>
    <col min="15873" max="15873" width="5.7109375" style="1" customWidth="1"/>
    <col min="15874" max="15874" width="6.28515625" style="1" customWidth="1"/>
    <col min="15875" max="15899" width="6.140625" style="1" customWidth="1"/>
    <col min="15900" max="15900" width="4.42578125" style="1" customWidth="1"/>
    <col min="15901" max="15902" width="3.140625" style="1" customWidth="1"/>
    <col min="15903" max="15903" width="3.85546875" style="1" customWidth="1"/>
    <col min="15904" max="15904" width="3.140625" style="1" customWidth="1"/>
    <col min="15905" max="15905" width="4.42578125" style="1" customWidth="1"/>
    <col min="15906" max="15906" width="3.140625" style="1" customWidth="1"/>
    <col min="15907" max="15907" width="7.7109375" style="1" customWidth="1"/>
    <col min="15908" max="15909" width="3.140625" style="1" customWidth="1"/>
    <col min="15910" max="16128" width="11.28515625" style="1"/>
    <col min="16129" max="16129" width="5.7109375" style="1" customWidth="1"/>
    <col min="16130" max="16130" width="6.28515625" style="1" customWidth="1"/>
    <col min="16131" max="16155" width="6.140625" style="1" customWidth="1"/>
    <col min="16156" max="16156" width="4.42578125" style="1" customWidth="1"/>
    <col min="16157" max="16158" width="3.140625" style="1" customWidth="1"/>
    <col min="16159" max="16159" width="3.85546875" style="1" customWidth="1"/>
    <col min="16160" max="16160" width="3.140625" style="1" customWidth="1"/>
    <col min="16161" max="16161" width="4.42578125" style="1" customWidth="1"/>
    <col min="16162" max="16162" width="3.140625" style="1" customWidth="1"/>
    <col min="16163" max="16163" width="7.7109375" style="1" customWidth="1"/>
    <col min="16164" max="16165" width="3.140625" style="1" customWidth="1"/>
    <col min="16166" max="16384" width="11.28515625" style="1"/>
  </cols>
  <sheetData>
    <row r="1" spans="1:37" ht="15.75" thickBot="1"/>
    <row r="2" spans="1:37" ht="14.25" customHeight="1">
      <c r="A2" s="29" t="s">
        <v>0</v>
      </c>
      <c r="B2" s="30"/>
      <c r="C2" s="30"/>
      <c r="D2" s="33" t="s">
        <v>78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5" t="s">
        <v>1</v>
      </c>
      <c r="AG2" s="35"/>
      <c r="AH2" s="35"/>
      <c r="AI2" s="35"/>
      <c r="AJ2" s="35"/>
      <c r="AK2" s="36"/>
    </row>
    <row r="3" spans="1:37" ht="11.25" customHeight="1">
      <c r="A3" s="31"/>
      <c r="B3" s="32"/>
      <c r="C3" s="3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7"/>
      <c r="AG3" s="37"/>
      <c r="AH3" s="37"/>
      <c r="AI3" s="37"/>
      <c r="AJ3" s="37"/>
      <c r="AK3" s="38"/>
    </row>
    <row r="4" spans="1:37" ht="16.5" customHeight="1">
      <c r="A4" s="39" t="s">
        <v>2</v>
      </c>
      <c r="B4" s="40"/>
      <c r="C4" s="40"/>
      <c r="D4" s="41"/>
      <c r="E4" s="41"/>
      <c r="F4" s="41"/>
      <c r="G4" s="41"/>
      <c r="H4" s="41"/>
      <c r="I4" s="42" t="s">
        <v>3</v>
      </c>
      <c r="J4" s="42"/>
      <c r="K4" s="42"/>
      <c r="L4" s="41"/>
      <c r="M4" s="41"/>
      <c r="N4" s="41"/>
      <c r="O4" s="41"/>
      <c r="P4" s="41"/>
      <c r="Q4" s="41"/>
      <c r="R4" s="42" t="s">
        <v>4</v>
      </c>
      <c r="S4" s="42"/>
      <c r="T4" s="42"/>
      <c r="U4" s="42"/>
      <c r="V4" s="41"/>
      <c r="W4" s="41"/>
      <c r="X4" s="41"/>
      <c r="Y4" s="41"/>
      <c r="Z4" s="41"/>
      <c r="AA4" s="41"/>
      <c r="AB4" s="42" t="s">
        <v>5</v>
      </c>
      <c r="AC4" s="42"/>
      <c r="AD4" s="42"/>
      <c r="AE4" s="42"/>
      <c r="AF4" s="43"/>
      <c r="AG4" s="44"/>
      <c r="AH4" s="44"/>
      <c r="AI4" s="44"/>
      <c r="AJ4" s="44"/>
      <c r="AK4" s="45"/>
    </row>
    <row r="5" spans="1:37" ht="25.5" customHeight="1">
      <c r="A5" s="39" t="s">
        <v>6</v>
      </c>
      <c r="B5" s="40"/>
      <c r="C5" s="40"/>
      <c r="D5" s="41"/>
      <c r="E5" s="41"/>
      <c r="F5" s="41"/>
      <c r="G5" s="41"/>
      <c r="H5" s="41"/>
      <c r="I5" s="46" t="s">
        <v>7</v>
      </c>
      <c r="J5" s="47"/>
      <c r="K5" s="48"/>
      <c r="L5" s="41"/>
      <c r="M5" s="41"/>
      <c r="N5" s="41"/>
      <c r="O5" s="41"/>
      <c r="P5" s="41"/>
      <c r="Q5" s="41"/>
      <c r="R5" s="42" t="s">
        <v>8</v>
      </c>
      <c r="S5" s="42"/>
      <c r="T5" s="42"/>
      <c r="U5" s="42"/>
      <c r="V5" s="41"/>
      <c r="W5" s="41"/>
      <c r="X5" s="41"/>
      <c r="Y5" s="41"/>
      <c r="Z5" s="41"/>
      <c r="AA5" s="41"/>
      <c r="AB5" s="42" t="s">
        <v>9</v>
      </c>
      <c r="AC5" s="42"/>
      <c r="AD5" s="42"/>
      <c r="AE5" s="42"/>
      <c r="AF5" s="44"/>
      <c r="AG5" s="44"/>
      <c r="AH5" s="44"/>
      <c r="AI5" s="44"/>
      <c r="AJ5" s="44"/>
      <c r="AK5" s="45"/>
    </row>
    <row r="6" spans="1:37" ht="14.25" customHeight="1" thickBot="1">
      <c r="A6" s="61" t="s">
        <v>10</v>
      </c>
      <c r="B6" s="62"/>
      <c r="C6" s="62"/>
      <c r="D6" s="49"/>
      <c r="E6" s="49"/>
      <c r="F6" s="49"/>
      <c r="G6" s="49"/>
      <c r="H6" s="49"/>
      <c r="I6" s="50" t="s">
        <v>11</v>
      </c>
      <c r="J6" s="50"/>
      <c r="K6" s="50"/>
      <c r="L6" s="62" t="s">
        <v>12</v>
      </c>
      <c r="M6" s="62"/>
      <c r="N6" s="2"/>
      <c r="O6" s="62" t="s">
        <v>13</v>
      </c>
      <c r="P6" s="62"/>
      <c r="Q6" s="2"/>
      <c r="R6" s="50" t="s">
        <v>14</v>
      </c>
      <c r="S6" s="50"/>
      <c r="T6" s="50"/>
      <c r="U6" s="50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1"/>
      <c r="AG6" s="51"/>
      <c r="AH6" s="51"/>
      <c r="AI6" s="51"/>
      <c r="AJ6" s="51"/>
      <c r="AK6" s="52"/>
    </row>
    <row r="7" spans="1:37">
      <c r="A7" s="53" t="s">
        <v>15</v>
      </c>
      <c r="B7" s="3"/>
      <c r="AB7" s="55" t="s">
        <v>16</v>
      </c>
      <c r="AC7" s="56"/>
      <c r="AD7" s="56"/>
      <c r="AE7" s="56"/>
      <c r="AF7" s="56"/>
      <c r="AG7" s="56"/>
      <c r="AH7" s="56"/>
      <c r="AI7" s="56"/>
      <c r="AJ7" s="56"/>
      <c r="AK7" s="57"/>
    </row>
    <row r="8" spans="1:37">
      <c r="A8" s="53"/>
      <c r="B8" s="3"/>
      <c r="AB8" s="58" t="s">
        <v>17</v>
      </c>
      <c r="AC8" s="58"/>
      <c r="AD8" s="59" t="s">
        <v>18</v>
      </c>
      <c r="AE8" s="59"/>
      <c r="AF8" s="60" t="s">
        <v>19</v>
      </c>
      <c r="AG8" s="60"/>
      <c r="AH8" s="60" t="s">
        <v>20</v>
      </c>
      <c r="AI8" s="60"/>
      <c r="AJ8" s="60" t="s">
        <v>21</v>
      </c>
      <c r="AK8" s="60"/>
    </row>
    <row r="9" spans="1:37">
      <c r="A9" s="53"/>
      <c r="B9" s="3"/>
      <c r="AB9" s="58"/>
      <c r="AC9" s="58"/>
      <c r="AD9" s="65">
        <v>3</v>
      </c>
      <c r="AE9" s="65"/>
      <c r="AF9" s="66">
        <v>1.0229999999999999</v>
      </c>
      <c r="AG9" s="66"/>
      <c r="AH9" s="66">
        <v>0</v>
      </c>
      <c r="AI9" s="66"/>
      <c r="AJ9" s="66">
        <v>2.5750000000000002</v>
      </c>
      <c r="AK9" s="66"/>
    </row>
    <row r="10" spans="1:37">
      <c r="A10" s="53"/>
      <c r="B10" s="3"/>
      <c r="AB10" s="58"/>
      <c r="AC10" s="58"/>
      <c r="AD10" s="65">
        <v>4</v>
      </c>
      <c r="AE10" s="65"/>
      <c r="AF10" s="66">
        <v>0.72899999999999998</v>
      </c>
      <c r="AG10" s="66"/>
      <c r="AH10" s="66">
        <v>0</v>
      </c>
      <c r="AI10" s="66"/>
      <c r="AJ10" s="66">
        <v>2.282</v>
      </c>
      <c r="AK10" s="66"/>
    </row>
    <row r="11" spans="1:37">
      <c r="A11" s="53"/>
      <c r="B11" s="3"/>
      <c r="AB11" s="58"/>
      <c r="AC11" s="58"/>
      <c r="AD11" s="65">
        <v>5</v>
      </c>
      <c r="AE11" s="65"/>
      <c r="AF11" s="66">
        <v>0.57699999999999996</v>
      </c>
      <c r="AG11" s="66"/>
      <c r="AH11" s="66">
        <v>0</v>
      </c>
      <c r="AI11" s="66"/>
      <c r="AJ11" s="66">
        <v>2.1150000000000002</v>
      </c>
      <c r="AK11" s="66"/>
    </row>
    <row r="12" spans="1:37">
      <c r="A12" s="53"/>
      <c r="B12" s="3"/>
      <c r="AB12" s="58" t="s">
        <v>17</v>
      </c>
      <c r="AC12" s="63" t="s">
        <v>22</v>
      </c>
      <c r="AD12" s="63"/>
      <c r="AE12" s="63"/>
      <c r="AF12" s="63" t="s">
        <v>23</v>
      </c>
      <c r="AG12" s="63"/>
      <c r="AH12" s="63"/>
      <c r="AI12" s="63" t="s">
        <v>24</v>
      </c>
      <c r="AJ12" s="63"/>
      <c r="AK12" s="63"/>
    </row>
    <row r="13" spans="1:37">
      <c r="A13" s="53"/>
      <c r="B13" s="3"/>
      <c r="AB13" s="58"/>
      <c r="AC13" s="64"/>
      <c r="AD13" s="60" t="s">
        <v>25</v>
      </c>
      <c r="AE13" s="60"/>
      <c r="AF13" s="60"/>
      <c r="AG13" s="60"/>
      <c r="AH13" s="60"/>
      <c r="AI13" s="67" t="e">
        <f>AVERAGE(C38:AA38)</f>
        <v>#DIV/0!</v>
      </c>
      <c r="AJ13" s="67"/>
      <c r="AK13" s="67"/>
    </row>
    <row r="14" spans="1:37">
      <c r="A14" s="53"/>
      <c r="B14" s="3"/>
      <c r="AB14" s="58"/>
      <c r="AC14" s="64"/>
      <c r="AD14" s="60" t="s">
        <v>26</v>
      </c>
      <c r="AE14" s="60"/>
      <c r="AF14" s="60"/>
      <c r="AG14" s="60"/>
      <c r="AH14" s="60"/>
      <c r="AI14" s="67" t="e">
        <f>AI13+(AF11*AI16)</f>
        <v>#DIV/0!</v>
      </c>
      <c r="AJ14" s="67"/>
      <c r="AK14" s="67"/>
    </row>
    <row r="15" spans="1:37">
      <c r="A15" s="53"/>
      <c r="B15" s="3"/>
      <c r="AB15" s="58"/>
      <c r="AC15" s="64"/>
      <c r="AD15" s="60" t="s">
        <v>27</v>
      </c>
      <c r="AE15" s="60"/>
      <c r="AF15" s="60"/>
      <c r="AG15" s="60"/>
      <c r="AH15" s="60"/>
      <c r="AI15" s="67" t="e">
        <f>AI13-(AF11*AI16)</f>
        <v>#DIV/0!</v>
      </c>
      <c r="AJ15" s="67"/>
      <c r="AK15" s="67"/>
    </row>
    <row r="16" spans="1:37">
      <c r="A16" s="53"/>
      <c r="B16" s="3"/>
      <c r="AB16" s="58"/>
      <c r="AC16" s="64" t="s">
        <v>28</v>
      </c>
      <c r="AD16" s="60" t="s">
        <v>25</v>
      </c>
      <c r="AE16" s="60"/>
      <c r="AF16" s="60"/>
      <c r="AG16" s="60"/>
      <c r="AH16" s="60"/>
      <c r="AI16" s="67" t="e">
        <f>AVERAGE(C39:AA39)</f>
        <v>#DIV/0!</v>
      </c>
      <c r="AJ16" s="67"/>
      <c r="AK16" s="67"/>
    </row>
    <row r="17" spans="1:42">
      <c r="A17" s="53"/>
      <c r="B17" s="3"/>
      <c r="AB17" s="58"/>
      <c r="AC17" s="64"/>
      <c r="AD17" s="60" t="s">
        <v>26</v>
      </c>
      <c r="AE17" s="60"/>
      <c r="AF17" s="60"/>
      <c r="AG17" s="60"/>
      <c r="AH17" s="60"/>
      <c r="AI17" s="67" t="e">
        <f>AJ11*AI16</f>
        <v>#DIV/0!</v>
      </c>
      <c r="AJ17" s="67"/>
      <c r="AK17" s="67"/>
    </row>
    <row r="18" spans="1:42">
      <c r="A18" s="54"/>
      <c r="B18" s="3"/>
      <c r="AB18" s="58"/>
      <c r="AC18" s="64"/>
      <c r="AD18" s="60" t="s">
        <v>27</v>
      </c>
      <c r="AE18" s="60"/>
      <c r="AF18" s="60"/>
      <c r="AG18" s="60"/>
      <c r="AH18" s="60"/>
      <c r="AI18" s="67" t="e">
        <f>AH11*AI16</f>
        <v>#DIV/0!</v>
      </c>
      <c r="AJ18" s="67"/>
      <c r="AK18" s="67"/>
    </row>
    <row r="19" spans="1:42">
      <c r="A19" s="105" t="s">
        <v>29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07" t="s">
        <v>80</v>
      </c>
      <c r="AC19" s="108"/>
      <c r="AD19" s="108"/>
      <c r="AE19" s="108"/>
      <c r="AF19" s="108"/>
      <c r="AG19" s="108"/>
      <c r="AH19" s="108"/>
      <c r="AI19" s="108"/>
      <c r="AJ19" s="108"/>
      <c r="AK19" s="109"/>
    </row>
    <row r="20" spans="1:42" ht="21" customHeight="1">
      <c r="A20" s="53"/>
      <c r="B20" s="3"/>
      <c r="AB20" s="71" t="s">
        <v>30</v>
      </c>
      <c r="AC20" s="72"/>
      <c r="AD20" s="76" t="s">
        <v>15</v>
      </c>
      <c r="AE20" s="77"/>
      <c r="AF20" s="77"/>
      <c r="AG20" s="72"/>
      <c r="AH20" s="78" t="e">
        <f>AVERAGE(C33:AA37)</f>
        <v>#DIV/0!</v>
      </c>
      <c r="AI20" s="79"/>
      <c r="AJ20" s="79"/>
      <c r="AK20" s="80"/>
    </row>
    <row r="21" spans="1:42" ht="18.75">
      <c r="A21" s="53"/>
      <c r="B21" s="3"/>
      <c r="AB21" s="110" t="s">
        <v>31</v>
      </c>
      <c r="AC21" s="111"/>
      <c r="AD21" s="112" t="s">
        <v>32</v>
      </c>
      <c r="AE21" s="113"/>
      <c r="AF21" s="113"/>
      <c r="AG21" s="114"/>
      <c r="AH21" s="78" t="e">
        <f>STDEV(C33:AA37)</f>
        <v>#DIV/0!</v>
      </c>
      <c r="AI21" s="79"/>
      <c r="AJ21" s="79"/>
      <c r="AK21" s="80"/>
    </row>
    <row r="22" spans="1:42">
      <c r="A22" s="53"/>
      <c r="B22" s="3"/>
      <c r="AB22" s="71" t="s">
        <v>33</v>
      </c>
      <c r="AC22" s="72"/>
      <c r="AD22" s="73" t="s">
        <v>34</v>
      </c>
      <c r="AE22" s="74"/>
      <c r="AF22" s="74"/>
      <c r="AG22" s="75"/>
      <c r="AH22" s="68">
        <f>Q6</f>
        <v>0</v>
      </c>
      <c r="AI22" s="69"/>
      <c r="AJ22" s="69"/>
      <c r="AK22" s="70"/>
    </row>
    <row r="23" spans="1:42">
      <c r="A23" s="53"/>
      <c r="B23" s="3"/>
      <c r="AB23" s="71" t="s">
        <v>35</v>
      </c>
      <c r="AC23" s="72"/>
      <c r="AD23" s="73" t="s">
        <v>36</v>
      </c>
      <c r="AE23" s="74"/>
      <c r="AF23" s="74"/>
      <c r="AG23" s="75"/>
      <c r="AH23" s="68">
        <f>N6</f>
        <v>0</v>
      </c>
      <c r="AI23" s="69"/>
      <c r="AJ23" s="69"/>
      <c r="AK23" s="70"/>
    </row>
    <row r="24" spans="1:42" ht="14.45" customHeight="1">
      <c r="A24" s="53"/>
      <c r="B24" s="3"/>
      <c r="AB24" s="71" t="s">
        <v>37</v>
      </c>
      <c r="AC24" s="72"/>
      <c r="AD24" s="76" t="s">
        <v>38</v>
      </c>
      <c r="AE24" s="77"/>
      <c r="AF24" s="77"/>
      <c r="AG24" s="72"/>
      <c r="AH24" s="78" t="e">
        <f>(AH22-AH23)/(6*AH21)</f>
        <v>#DIV/0!</v>
      </c>
      <c r="AI24" s="79"/>
      <c r="AJ24" s="79"/>
      <c r="AK24" s="80"/>
    </row>
    <row r="25" spans="1:42" ht="14.45" customHeight="1">
      <c r="A25" s="53"/>
      <c r="B25" s="3"/>
      <c r="AB25" s="71" t="s">
        <v>39</v>
      </c>
      <c r="AC25" s="72"/>
      <c r="AD25" s="76" t="s">
        <v>40</v>
      </c>
      <c r="AE25" s="77"/>
      <c r="AF25" s="77"/>
      <c r="AG25" s="72"/>
      <c r="AH25" s="78" t="e">
        <f>(AH22-AH20)/(3*AH21)</f>
        <v>#DIV/0!</v>
      </c>
      <c r="AI25" s="79"/>
      <c r="AJ25" s="79"/>
      <c r="AK25" s="80"/>
    </row>
    <row r="26" spans="1:42">
      <c r="A26" s="53"/>
      <c r="B26" s="3"/>
      <c r="AB26" s="71" t="s">
        <v>41</v>
      </c>
      <c r="AC26" s="72"/>
      <c r="AD26" s="76" t="s">
        <v>42</v>
      </c>
      <c r="AE26" s="77"/>
      <c r="AF26" s="77"/>
      <c r="AG26" s="72"/>
      <c r="AH26" s="78" t="e">
        <f>(AH20-AH23)/(3*AH21)</f>
        <v>#DIV/0!</v>
      </c>
      <c r="AI26" s="79"/>
      <c r="AJ26" s="79"/>
      <c r="AK26" s="80"/>
    </row>
    <row r="27" spans="1:42" ht="22.5">
      <c r="A27" s="53"/>
      <c r="B27" s="3"/>
      <c r="AB27" s="81" t="s">
        <v>43</v>
      </c>
      <c r="AC27" s="82"/>
      <c r="AD27" s="83" t="s">
        <v>44</v>
      </c>
      <c r="AE27" s="84"/>
      <c r="AF27" s="84"/>
      <c r="AG27" s="85"/>
      <c r="AH27" s="86" t="e">
        <f>MIN(AH25,AH26)</f>
        <v>#DIV/0!</v>
      </c>
      <c r="AI27" s="87"/>
      <c r="AJ27" s="87"/>
      <c r="AK27" s="88"/>
      <c r="AM27" s="6"/>
      <c r="AN27" s="6"/>
      <c r="AO27" s="6"/>
      <c r="AP27" s="6"/>
    </row>
    <row r="28" spans="1:42">
      <c r="A28" s="53"/>
      <c r="B28" s="3"/>
      <c r="AB28" s="89" t="s">
        <v>45</v>
      </c>
      <c r="AC28" s="90"/>
      <c r="AD28" s="90"/>
      <c r="AE28" s="90"/>
      <c r="AF28" s="90"/>
      <c r="AG28" s="90"/>
      <c r="AH28" s="90"/>
      <c r="AI28" s="90"/>
      <c r="AJ28" s="90"/>
      <c r="AK28" s="91"/>
      <c r="AN28" s="6"/>
      <c r="AO28" s="6"/>
      <c r="AP28" s="6"/>
    </row>
    <row r="29" spans="1:42">
      <c r="A29" s="53"/>
      <c r="B29" s="3"/>
      <c r="AB29" s="92" t="e">
        <f>IF(AH27&gt;1.67,"ACCEPTED",IF(AND(AH27&gt;=1.33,AH27&lt;=1.67),"MAY BE ACCEPTED",IF(AH27&lt;1.33,"NOT ACCEPTED","")))</f>
        <v>#DIV/0!</v>
      </c>
      <c r="AC29" s="93"/>
      <c r="AD29" s="93"/>
      <c r="AE29" s="93"/>
      <c r="AF29" s="93"/>
      <c r="AG29" s="93"/>
      <c r="AH29" s="93"/>
      <c r="AI29" s="93"/>
      <c r="AJ29" s="93"/>
      <c r="AK29" s="94"/>
      <c r="AM29" s="6"/>
      <c r="AN29" s="6"/>
      <c r="AO29" s="6"/>
      <c r="AP29" s="6"/>
    </row>
    <row r="30" spans="1:42" ht="15.75" thickBot="1">
      <c r="A30" s="106"/>
      <c r="B30" s="7"/>
      <c r="AB30" s="92"/>
      <c r="AC30" s="93"/>
      <c r="AD30" s="93"/>
      <c r="AE30" s="93"/>
      <c r="AF30" s="93"/>
      <c r="AG30" s="93"/>
      <c r="AH30" s="93"/>
      <c r="AI30" s="93"/>
      <c r="AJ30" s="93"/>
      <c r="AK30" s="94"/>
      <c r="AM30" s="6"/>
      <c r="AN30" s="6"/>
      <c r="AO30" s="6"/>
      <c r="AP30" s="6"/>
    </row>
    <row r="31" spans="1:42" ht="17.25" customHeight="1">
      <c r="A31" s="95" t="s">
        <v>46</v>
      </c>
      <c r="B31" s="96"/>
      <c r="C31" s="8">
        <v>1</v>
      </c>
      <c r="D31" s="8">
        <v>2</v>
      </c>
      <c r="E31" s="8">
        <v>3</v>
      </c>
      <c r="F31" s="8">
        <v>4</v>
      </c>
      <c r="G31" s="8">
        <v>5</v>
      </c>
      <c r="H31" s="8">
        <v>6</v>
      </c>
      <c r="I31" s="8">
        <v>7</v>
      </c>
      <c r="J31" s="8">
        <v>8</v>
      </c>
      <c r="K31" s="8">
        <v>9</v>
      </c>
      <c r="L31" s="8">
        <v>10</v>
      </c>
      <c r="M31" s="8">
        <v>11</v>
      </c>
      <c r="N31" s="8">
        <v>12</v>
      </c>
      <c r="O31" s="8">
        <v>13</v>
      </c>
      <c r="P31" s="8">
        <v>14</v>
      </c>
      <c r="Q31" s="8">
        <v>15</v>
      </c>
      <c r="R31" s="8">
        <v>16</v>
      </c>
      <c r="S31" s="8">
        <v>17</v>
      </c>
      <c r="T31" s="8">
        <v>18</v>
      </c>
      <c r="U31" s="8">
        <v>19</v>
      </c>
      <c r="V31" s="8">
        <v>20</v>
      </c>
      <c r="W31" s="8">
        <v>21</v>
      </c>
      <c r="X31" s="8">
        <v>22</v>
      </c>
      <c r="Y31" s="8">
        <v>23</v>
      </c>
      <c r="Z31" s="8">
        <v>24</v>
      </c>
      <c r="AA31" s="9">
        <v>25</v>
      </c>
      <c r="AB31" s="92"/>
      <c r="AC31" s="93"/>
      <c r="AD31" s="93"/>
      <c r="AE31" s="93"/>
      <c r="AF31" s="93"/>
      <c r="AG31" s="93"/>
      <c r="AH31" s="93"/>
      <c r="AI31" s="93"/>
      <c r="AJ31" s="93"/>
      <c r="AK31" s="94"/>
    </row>
    <row r="32" spans="1:42" ht="17.25" customHeight="1">
      <c r="A32" s="97" t="s">
        <v>5</v>
      </c>
      <c r="B32" s="98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  <c r="AB32" s="92"/>
      <c r="AC32" s="93"/>
      <c r="AD32" s="93"/>
      <c r="AE32" s="93"/>
      <c r="AF32" s="93"/>
      <c r="AG32" s="93"/>
      <c r="AH32" s="93"/>
      <c r="AI32" s="93"/>
      <c r="AJ32" s="93"/>
      <c r="AK32" s="94"/>
    </row>
    <row r="33" spans="1:37" ht="17.25" customHeight="1">
      <c r="A33" s="99" t="s">
        <v>47</v>
      </c>
      <c r="B33" s="12" t="s">
        <v>48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13"/>
      <c r="X33" s="13"/>
      <c r="Y33" s="13"/>
      <c r="Z33" s="13"/>
      <c r="AA33" s="14"/>
      <c r="AB33" s="92"/>
      <c r="AC33" s="93"/>
      <c r="AD33" s="93"/>
      <c r="AE33" s="93"/>
      <c r="AF33" s="93"/>
      <c r="AG33" s="93"/>
      <c r="AH33" s="93"/>
      <c r="AI33" s="93"/>
      <c r="AJ33" s="93"/>
      <c r="AK33" s="94"/>
    </row>
    <row r="34" spans="1:37" ht="17.25" customHeight="1">
      <c r="A34" s="99"/>
      <c r="B34" s="12" t="s">
        <v>49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13"/>
      <c r="X34" s="13"/>
      <c r="Y34" s="13"/>
      <c r="Z34" s="13"/>
      <c r="AA34" s="14"/>
      <c r="AB34" s="100" t="s">
        <v>50</v>
      </c>
      <c r="AC34" s="101"/>
      <c r="AD34" s="101"/>
      <c r="AE34" s="101"/>
      <c r="AF34" s="101"/>
      <c r="AG34" s="101"/>
      <c r="AH34" s="101"/>
      <c r="AI34" s="101"/>
      <c r="AJ34" s="101"/>
      <c r="AK34" s="102"/>
    </row>
    <row r="35" spans="1:37" ht="17.25" customHeight="1">
      <c r="A35" s="99"/>
      <c r="B35" s="12" t="s">
        <v>51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13"/>
      <c r="X35" s="13"/>
      <c r="Y35" s="13"/>
      <c r="Z35" s="13"/>
      <c r="AA35" s="14"/>
      <c r="AB35" s="103" t="s">
        <v>24</v>
      </c>
      <c r="AC35" s="104"/>
      <c r="AD35" s="104"/>
      <c r="AE35" s="104"/>
      <c r="AF35" s="104" t="s">
        <v>52</v>
      </c>
      <c r="AG35" s="104"/>
      <c r="AH35" s="104"/>
      <c r="AI35" s="104"/>
      <c r="AJ35" s="104"/>
      <c r="AK35" s="119"/>
    </row>
    <row r="36" spans="1:37" ht="17.25" customHeight="1">
      <c r="A36" s="99"/>
      <c r="B36" s="12" t="s">
        <v>53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13"/>
      <c r="X36" s="13"/>
      <c r="Y36" s="13"/>
      <c r="Z36" s="13"/>
      <c r="AA36" s="14"/>
      <c r="AB36" s="120" t="s">
        <v>54</v>
      </c>
      <c r="AC36" s="65"/>
      <c r="AD36" s="65"/>
      <c r="AE36" s="65"/>
      <c r="AF36" s="121" t="s">
        <v>55</v>
      </c>
      <c r="AG36" s="121"/>
      <c r="AH36" s="121"/>
      <c r="AI36" s="121"/>
      <c r="AJ36" s="121"/>
      <c r="AK36" s="122"/>
    </row>
    <row r="37" spans="1:37" ht="17.25" customHeight="1">
      <c r="A37" s="99"/>
      <c r="B37" s="12" t="s">
        <v>56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13"/>
      <c r="X37" s="13"/>
      <c r="Y37" s="13"/>
      <c r="Z37" s="13"/>
      <c r="AA37" s="14"/>
      <c r="AB37" s="120" t="s">
        <v>57</v>
      </c>
      <c r="AC37" s="65"/>
      <c r="AD37" s="65"/>
      <c r="AE37" s="65"/>
      <c r="AF37" s="121" t="s">
        <v>58</v>
      </c>
      <c r="AG37" s="121"/>
      <c r="AH37" s="121"/>
      <c r="AI37" s="121"/>
      <c r="AJ37" s="121"/>
      <c r="AK37" s="122"/>
    </row>
    <row r="38" spans="1:37" ht="17.25" customHeight="1">
      <c r="A38" s="97" t="s">
        <v>59</v>
      </c>
      <c r="B38" s="98"/>
      <c r="C38" s="15" t="str">
        <f t="shared" ref="C38:AA38" si="0">IF(ISNUMBER(C$33),AVERAGE(C$33:C$37),"")</f>
        <v/>
      </c>
      <c r="D38" s="15" t="str">
        <f t="shared" si="0"/>
        <v/>
      </c>
      <c r="E38" s="15" t="str">
        <f t="shared" si="0"/>
        <v/>
      </c>
      <c r="F38" s="15" t="str">
        <f t="shared" si="0"/>
        <v/>
      </c>
      <c r="G38" s="15" t="str">
        <f t="shared" si="0"/>
        <v/>
      </c>
      <c r="H38" s="15" t="str">
        <f t="shared" si="0"/>
        <v/>
      </c>
      <c r="I38" s="15" t="str">
        <f t="shared" si="0"/>
        <v/>
      </c>
      <c r="J38" s="15" t="str">
        <f t="shared" si="0"/>
        <v/>
      </c>
      <c r="K38" s="15" t="str">
        <f t="shared" si="0"/>
        <v/>
      </c>
      <c r="L38" s="15" t="str">
        <f t="shared" si="0"/>
        <v/>
      </c>
      <c r="M38" s="15" t="str">
        <f t="shared" si="0"/>
        <v/>
      </c>
      <c r="N38" s="15" t="str">
        <f t="shared" si="0"/>
        <v/>
      </c>
      <c r="O38" s="15" t="str">
        <f t="shared" si="0"/>
        <v/>
      </c>
      <c r="P38" s="15" t="str">
        <f t="shared" si="0"/>
        <v/>
      </c>
      <c r="Q38" s="15" t="str">
        <f>IF(ISNUMBER(Q$33),AVERAGE(Q$33:Q$37),"")</f>
        <v/>
      </c>
      <c r="R38" s="15" t="str">
        <f t="shared" si="0"/>
        <v/>
      </c>
      <c r="S38" s="15" t="str">
        <f t="shared" si="0"/>
        <v/>
      </c>
      <c r="T38" s="15" t="str">
        <f t="shared" si="0"/>
        <v/>
      </c>
      <c r="U38" s="15" t="str">
        <f t="shared" si="0"/>
        <v/>
      </c>
      <c r="V38" s="15" t="str">
        <f t="shared" si="0"/>
        <v/>
      </c>
      <c r="W38" s="15" t="str">
        <f t="shared" si="0"/>
        <v/>
      </c>
      <c r="X38" s="15" t="str">
        <f t="shared" si="0"/>
        <v/>
      </c>
      <c r="Y38" s="15" t="str">
        <f t="shared" si="0"/>
        <v/>
      </c>
      <c r="Z38" s="15" t="str">
        <f t="shared" si="0"/>
        <v/>
      </c>
      <c r="AA38" s="16" t="str">
        <f t="shared" si="0"/>
        <v/>
      </c>
      <c r="AB38" s="120" t="s">
        <v>60</v>
      </c>
      <c r="AC38" s="65"/>
      <c r="AD38" s="65"/>
      <c r="AE38" s="65"/>
      <c r="AF38" s="121" t="s">
        <v>61</v>
      </c>
      <c r="AG38" s="121"/>
      <c r="AH38" s="121"/>
      <c r="AI38" s="121"/>
      <c r="AJ38" s="121"/>
      <c r="AK38" s="122"/>
    </row>
    <row r="39" spans="1:37" ht="27.75" customHeight="1" thickBot="1">
      <c r="A39" s="115" t="s">
        <v>62</v>
      </c>
      <c r="B39" s="116"/>
      <c r="C39" s="17" t="str">
        <f t="shared" ref="C39:AA39" si="1">IF(ISNUMBER(C$33),MAX(C$33:C$37)-MIN(C$33:C$37),"")</f>
        <v/>
      </c>
      <c r="D39" s="17" t="str">
        <f t="shared" si="1"/>
        <v/>
      </c>
      <c r="E39" s="17" t="str">
        <f t="shared" si="1"/>
        <v/>
      </c>
      <c r="F39" s="17" t="str">
        <f t="shared" si="1"/>
        <v/>
      </c>
      <c r="G39" s="17" t="str">
        <f t="shared" si="1"/>
        <v/>
      </c>
      <c r="H39" s="17" t="str">
        <f t="shared" si="1"/>
        <v/>
      </c>
      <c r="I39" s="17" t="str">
        <f t="shared" si="1"/>
        <v/>
      </c>
      <c r="J39" s="17" t="str">
        <f t="shared" si="1"/>
        <v/>
      </c>
      <c r="K39" s="17" t="str">
        <f t="shared" si="1"/>
        <v/>
      </c>
      <c r="L39" s="17" t="str">
        <f t="shared" si="1"/>
        <v/>
      </c>
      <c r="M39" s="17" t="str">
        <f t="shared" si="1"/>
        <v/>
      </c>
      <c r="N39" s="17" t="str">
        <f t="shared" si="1"/>
        <v/>
      </c>
      <c r="O39" s="17" t="str">
        <f t="shared" si="1"/>
        <v/>
      </c>
      <c r="P39" s="17" t="str">
        <f t="shared" si="1"/>
        <v/>
      </c>
      <c r="Q39" s="17" t="str">
        <f t="shared" si="1"/>
        <v/>
      </c>
      <c r="R39" s="17" t="str">
        <f t="shared" si="1"/>
        <v/>
      </c>
      <c r="S39" s="17" t="str">
        <f t="shared" si="1"/>
        <v/>
      </c>
      <c r="T39" s="17" t="str">
        <f t="shared" si="1"/>
        <v/>
      </c>
      <c r="U39" s="17" t="str">
        <f t="shared" si="1"/>
        <v/>
      </c>
      <c r="V39" s="17" t="str">
        <f t="shared" si="1"/>
        <v/>
      </c>
      <c r="W39" s="17" t="str">
        <f t="shared" si="1"/>
        <v/>
      </c>
      <c r="X39" s="17" t="str">
        <f t="shared" si="1"/>
        <v/>
      </c>
      <c r="Y39" s="17" t="str">
        <f t="shared" si="1"/>
        <v/>
      </c>
      <c r="Z39" s="17" t="str">
        <f t="shared" si="1"/>
        <v/>
      </c>
      <c r="AA39" s="18" t="str">
        <f t="shared" si="1"/>
        <v/>
      </c>
      <c r="AB39" s="19"/>
      <c r="AC39" s="20"/>
      <c r="AD39" s="20"/>
      <c r="AE39" s="20"/>
      <c r="AF39" s="20"/>
      <c r="AG39" s="20"/>
      <c r="AH39" s="20"/>
      <c r="AI39" s="20"/>
      <c r="AJ39" s="20"/>
      <c r="AK39" s="21"/>
    </row>
    <row r="41" spans="1:37" s="22" customFormat="1">
      <c r="A41" s="22" t="s">
        <v>63</v>
      </c>
    </row>
    <row r="42" spans="1:37" s="22" customFormat="1">
      <c r="A42" s="117" t="s">
        <v>64</v>
      </c>
      <c r="B42" s="23" t="s">
        <v>26</v>
      </c>
      <c r="C42" s="24" t="e">
        <f t="shared" ref="C42:AA42" si="2">$AI$14</f>
        <v>#DIV/0!</v>
      </c>
      <c r="D42" s="24" t="e">
        <f t="shared" si="2"/>
        <v>#DIV/0!</v>
      </c>
      <c r="E42" s="24" t="e">
        <f t="shared" si="2"/>
        <v>#DIV/0!</v>
      </c>
      <c r="F42" s="24" t="e">
        <f t="shared" si="2"/>
        <v>#DIV/0!</v>
      </c>
      <c r="G42" s="24" t="e">
        <f t="shared" si="2"/>
        <v>#DIV/0!</v>
      </c>
      <c r="H42" s="24" t="e">
        <f t="shared" si="2"/>
        <v>#DIV/0!</v>
      </c>
      <c r="I42" s="24" t="e">
        <f t="shared" si="2"/>
        <v>#DIV/0!</v>
      </c>
      <c r="J42" s="24" t="e">
        <f t="shared" si="2"/>
        <v>#DIV/0!</v>
      </c>
      <c r="K42" s="24" t="e">
        <f t="shared" si="2"/>
        <v>#DIV/0!</v>
      </c>
      <c r="L42" s="24" t="e">
        <f t="shared" si="2"/>
        <v>#DIV/0!</v>
      </c>
      <c r="M42" s="24" t="e">
        <f t="shared" si="2"/>
        <v>#DIV/0!</v>
      </c>
      <c r="N42" s="24" t="e">
        <f t="shared" si="2"/>
        <v>#DIV/0!</v>
      </c>
      <c r="O42" s="24" t="e">
        <f t="shared" si="2"/>
        <v>#DIV/0!</v>
      </c>
      <c r="P42" s="24" t="e">
        <f t="shared" si="2"/>
        <v>#DIV/0!</v>
      </c>
      <c r="Q42" s="24" t="e">
        <f t="shared" si="2"/>
        <v>#DIV/0!</v>
      </c>
      <c r="R42" s="24" t="e">
        <f t="shared" si="2"/>
        <v>#DIV/0!</v>
      </c>
      <c r="S42" s="24" t="e">
        <f t="shared" si="2"/>
        <v>#DIV/0!</v>
      </c>
      <c r="T42" s="24" t="e">
        <f t="shared" si="2"/>
        <v>#DIV/0!</v>
      </c>
      <c r="U42" s="24" t="e">
        <f t="shared" si="2"/>
        <v>#DIV/0!</v>
      </c>
      <c r="V42" s="24" t="e">
        <f t="shared" si="2"/>
        <v>#DIV/0!</v>
      </c>
      <c r="W42" s="24" t="e">
        <f t="shared" si="2"/>
        <v>#DIV/0!</v>
      </c>
      <c r="X42" s="24" t="e">
        <f t="shared" si="2"/>
        <v>#DIV/0!</v>
      </c>
      <c r="Y42" s="24" t="e">
        <f t="shared" si="2"/>
        <v>#DIV/0!</v>
      </c>
      <c r="Z42" s="24" t="e">
        <f t="shared" si="2"/>
        <v>#DIV/0!</v>
      </c>
      <c r="AA42" s="24" t="e">
        <f t="shared" si="2"/>
        <v>#DIV/0!</v>
      </c>
    </row>
    <row r="43" spans="1:37" s="22" customFormat="1">
      <c r="A43" s="117"/>
      <c r="B43" s="23" t="s">
        <v>25</v>
      </c>
      <c r="C43" s="24" t="e">
        <f t="shared" ref="C43:AA43" si="3">$AI$13</f>
        <v>#DIV/0!</v>
      </c>
      <c r="D43" s="24" t="e">
        <f t="shared" si="3"/>
        <v>#DIV/0!</v>
      </c>
      <c r="E43" s="24" t="e">
        <f t="shared" si="3"/>
        <v>#DIV/0!</v>
      </c>
      <c r="F43" s="24" t="e">
        <f t="shared" si="3"/>
        <v>#DIV/0!</v>
      </c>
      <c r="G43" s="24" t="e">
        <f t="shared" si="3"/>
        <v>#DIV/0!</v>
      </c>
      <c r="H43" s="24" t="e">
        <f t="shared" si="3"/>
        <v>#DIV/0!</v>
      </c>
      <c r="I43" s="24" t="e">
        <f t="shared" si="3"/>
        <v>#DIV/0!</v>
      </c>
      <c r="J43" s="24" t="e">
        <f t="shared" si="3"/>
        <v>#DIV/0!</v>
      </c>
      <c r="K43" s="24" t="e">
        <f t="shared" si="3"/>
        <v>#DIV/0!</v>
      </c>
      <c r="L43" s="24" t="e">
        <f t="shared" si="3"/>
        <v>#DIV/0!</v>
      </c>
      <c r="M43" s="24" t="e">
        <f t="shared" si="3"/>
        <v>#DIV/0!</v>
      </c>
      <c r="N43" s="24" t="e">
        <f t="shared" si="3"/>
        <v>#DIV/0!</v>
      </c>
      <c r="O43" s="24" t="e">
        <f t="shared" si="3"/>
        <v>#DIV/0!</v>
      </c>
      <c r="P43" s="24" t="e">
        <f t="shared" si="3"/>
        <v>#DIV/0!</v>
      </c>
      <c r="Q43" s="24" t="e">
        <f t="shared" si="3"/>
        <v>#DIV/0!</v>
      </c>
      <c r="R43" s="24" t="e">
        <f t="shared" si="3"/>
        <v>#DIV/0!</v>
      </c>
      <c r="S43" s="24" t="e">
        <f t="shared" si="3"/>
        <v>#DIV/0!</v>
      </c>
      <c r="T43" s="24" t="e">
        <f t="shared" si="3"/>
        <v>#DIV/0!</v>
      </c>
      <c r="U43" s="24" t="e">
        <f t="shared" si="3"/>
        <v>#DIV/0!</v>
      </c>
      <c r="V43" s="24" t="e">
        <f t="shared" si="3"/>
        <v>#DIV/0!</v>
      </c>
      <c r="W43" s="24" t="e">
        <f t="shared" si="3"/>
        <v>#DIV/0!</v>
      </c>
      <c r="X43" s="24" t="e">
        <f t="shared" si="3"/>
        <v>#DIV/0!</v>
      </c>
      <c r="Y43" s="24" t="e">
        <f t="shared" si="3"/>
        <v>#DIV/0!</v>
      </c>
      <c r="Z43" s="24" t="e">
        <f t="shared" si="3"/>
        <v>#DIV/0!</v>
      </c>
      <c r="AA43" s="24" t="e">
        <f t="shared" si="3"/>
        <v>#DIV/0!</v>
      </c>
      <c r="AI43" s="25"/>
    </row>
    <row r="44" spans="1:37" s="22" customFormat="1">
      <c r="A44" s="117"/>
      <c r="B44" s="23" t="s">
        <v>27</v>
      </c>
      <c r="C44" s="24" t="e">
        <f t="shared" ref="C44:AA44" si="4">$AI$15</f>
        <v>#DIV/0!</v>
      </c>
      <c r="D44" s="24" t="e">
        <f t="shared" si="4"/>
        <v>#DIV/0!</v>
      </c>
      <c r="E44" s="24" t="e">
        <f t="shared" si="4"/>
        <v>#DIV/0!</v>
      </c>
      <c r="F44" s="24" t="e">
        <f t="shared" si="4"/>
        <v>#DIV/0!</v>
      </c>
      <c r="G44" s="24" t="e">
        <f t="shared" si="4"/>
        <v>#DIV/0!</v>
      </c>
      <c r="H44" s="24" t="e">
        <f t="shared" si="4"/>
        <v>#DIV/0!</v>
      </c>
      <c r="I44" s="24" t="e">
        <f t="shared" si="4"/>
        <v>#DIV/0!</v>
      </c>
      <c r="J44" s="24" t="e">
        <f t="shared" si="4"/>
        <v>#DIV/0!</v>
      </c>
      <c r="K44" s="24" t="e">
        <f t="shared" si="4"/>
        <v>#DIV/0!</v>
      </c>
      <c r="L44" s="24" t="e">
        <f t="shared" si="4"/>
        <v>#DIV/0!</v>
      </c>
      <c r="M44" s="24" t="e">
        <f t="shared" si="4"/>
        <v>#DIV/0!</v>
      </c>
      <c r="N44" s="24" t="e">
        <f t="shared" si="4"/>
        <v>#DIV/0!</v>
      </c>
      <c r="O44" s="24" t="e">
        <f t="shared" si="4"/>
        <v>#DIV/0!</v>
      </c>
      <c r="P44" s="24" t="e">
        <f t="shared" si="4"/>
        <v>#DIV/0!</v>
      </c>
      <c r="Q44" s="24" t="e">
        <f t="shared" si="4"/>
        <v>#DIV/0!</v>
      </c>
      <c r="R44" s="24" t="e">
        <f t="shared" si="4"/>
        <v>#DIV/0!</v>
      </c>
      <c r="S44" s="24" t="e">
        <f t="shared" si="4"/>
        <v>#DIV/0!</v>
      </c>
      <c r="T44" s="24" t="e">
        <f t="shared" si="4"/>
        <v>#DIV/0!</v>
      </c>
      <c r="U44" s="24" t="e">
        <f t="shared" si="4"/>
        <v>#DIV/0!</v>
      </c>
      <c r="V44" s="24" t="e">
        <f t="shared" si="4"/>
        <v>#DIV/0!</v>
      </c>
      <c r="W44" s="24" t="e">
        <f t="shared" si="4"/>
        <v>#DIV/0!</v>
      </c>
      <c r="X44" s="24" t="e">
        <f t="shared" si="4"/>
        <v>#DIV/0!</v>
      </c>
      <c r="Y44" s="24" t="e">
        <f t="shared" si="4"/>
        <v>#DIV/0!</v>
      </c>
      <c r="Z44" s="24" t="e">
        <f t="shared" si="4"/>
        <v>#DIV/0!</v>
      </c>
      <c r="AA44" s="24" t="e">
        <f t="shared" si="4"/>
        <v>#DIV/0!</v>
      </c>
    </row>
    <row r="45" spans="1:37" s="22" customFormat="1">
      <c r="A45" s="117" t="s">
        <v>28</v>
      </c>
      <c r="B45" s="23" t="s">
        <v>26</v>
      </c>
      <c r="C45" s="24" t="e">
        <f t="shared" ref="C45:AA45" si="5">$AI$17</f>
        <v>#DIV/0!</v>
      </c>
      <c r="D45" s="24" t="e">
        <f t="shared" si="5"/>
        <v>#DIV/0!</v>
      </c>
      <c r="E45" s="24" t="e">
        <f t="shared" si="5"/>
        <v>#DIV/0!</v>
      </c>
      <c r="F45" s="24" t="e">
        <f t="shared" si="5"/>
        <v>#DIV/0!</v>
      </c>
      <c r="G45" s="24" t="e">
        <f t="shared" si="5"/>
        <v>#DIV/0!</v>
      </c>
      <c r="H45" s="24" t="e">
        <f t="shared" si="5"/>
        <v>#DIV/0!</v>
      </c>
      <c r="I45" s="24" t="e">
        <f t="shared" si="5"/>
        <v>#DIV/0!</v>
      </c>
      <c r="J45" s="24" t="e">
        <f t="shared" si="5"/>
        <v>#DIV/0!</v>
      </c>
      <c r="K45" s="24" t="e">
        <f t="shared" si="5"/>
        <v>#DIV/0!</v>
      </c>
      <c r="L45" s="24" t="e">
        <f t="shared" si="5"/>
        <v>#DIV/0!</v>
      </c>
      <c r="M45" s="24" t="e">
        <f t="shared" si="5"/>
        <v>#DIV/0!</v>
      </c>
      <c r="N45" s="24" t="e">
        <f t="shared" si="5"/>
        <v>#DIV/0!</v>
      </c>
      <c r="O45" s="24" t="e">
        <f t="shared" si="5"/>
        <v>#DIV/0!</v>
      </c>
      <c r="P45" s="24" t="e">
        <f t="shared" si="5"/>
        <v>#DIV/0!</v>
      </c>
      <c r="Q45" s="24" t="e">
        <f t="shared" si="5"/>
        <v>#DIV/0!</v>
      </c>
      <c r="R45" s="24" t="e">
        <f t="shared" si="5"/>
        <v>#DIV/0!</v>
      </c>
      <c r="S45" s="24" t="e">
        <f t="shared" si="5"/>
        <v>#DIV/0!</v>
      </c>
      <c r="T45" s="24" t="e">
        <f t="shared" si="5"/>
        <v>#DIV/0!</v>
      </c>
      <c r="U45" s="24" t="e">
        <f t="shared" si="5"/>
        <v>#DIV/0!</v>
      </c>
      <c r="V45" s="24" t="e">
        <f t="shared" si="5"/>
        <v>#DIV/0!</v>
      </c>
      <c r="W45" s="24" t="e">
        <f t="shared" si="5"/>
        <v>#DIV/0!</v>
      </c>
      <c r="X45" s="24" t="e">
        <f t="shared" si="5"/>
        <v>#DIV/0!</v>
      </c>
      <c r="Y45" s="24" t="e">
        <f t="shared" si="5"/>
        <v>#DIV/0!</v>
      </c>
      <c r="Z45" s="24" t="e">
        <f t="shared" si="5"/>
        <v>#DIV/0!</v>
      </c>
      <c r="AA45" s="24" t="e">
        <f t="shared" si="5"/>
        <v>#DIV/0!</v>
      </c>
    </row>
    <row r="46" spans="1:37" s="22" customFormat="1">
      <c r="A46" s="117"/>
      <c r="B46" s="23" t="s">
        <v>25</v>
      </c>
      <c r="C46" s="24" t="e">
        <f t="shared" ref="C46:AA46" si="6">$AI$16</f>
        <v>#DIV/0!</v>
      </c>
      <c r="D46" s="24" t="e">
        <f t="shared" si="6"/>
        <v>#DIV/0!</v>
      </c>
      <c r="E46" s="24" t="e">
        <f t="shared" si="6"/>
        <v>#DIV/0!</v>
      </c>
      <c r="F46" s="24" t="e">
        <f t="shared" si="6"/>
        <v>#DIV/0!</v>
      </c>
      <c r="G46" s="24" t="e">
        <f t="shared" si="6"/>
        <v>#DIV/0!</v>
      </c>
      <c r="H46" s="24" t="e">
        <f t="shared" si="6"/>
        <v>#DIV/0!</v>
      </c>
      <c r="I46" s="24" t="e">
        <f t="shared" si="6"/>
        <v>#DIV/0!</v>
      </c>
      <c r="J46" s="24" t="e">
        <f t="shared" si="6"/>
        <v>#DIV/0!</v>
      </c>
      <c r="K46" s="24" t="e">
        <f t="shared" si="6"/>
        <v>#DIV/0!</v>
      </c>
      <c r="L46" s="24" t="e">
        <f t="shared" si="6"/>
        <v>#DIV/0!</v>
      </c>
      <c r="M46" s="24" t="e">
        <f t="shared" si="6"/>
        <v>#DIV/0!</v>
      </c>
      <c r="N46" s="24" t="e">
        <f t="shared" si="6"/>
        <v>#DIV/0!</v>
      </c>
      <c r="O46" s="24" t="e">
        <f t="shared" si="6"/>
        <v>#DIV/0!</v>
      </c>
      <c r="P46" s="24" t="e">
        <f t="shared" si="6"/>
        <v>#DIV/0!</v>
      </c>
      <c r="Q46" s="24" t="e">
        <f t="shared" si="6"/>
        <v>#DIV/0!</v>
      </c>
      <c r="R46" s="24" t="e">
        <f t="shared" si="6"/>
        <v>#DIV/0!</v>
      </c>
      <c r="S46" s="24" t="e">
        <f t="shared" si="6"/>
        <v>#DIV/0!</v>
      </c>
      <c r="T46" s="24" t="e">
        <f t="shared" si="6"/>
        <v>#DIV/0!</v>
      </c>
      <c r="U46" s="24" t="e">
        <f t="shared" si="6"/>
        <v>#DIV/0!</v>
      </c>
      <c r="V46" s="24" t="e">
        <f t="shared" si="6"/>
        <v>#DIV/0!</v>
      </c>
      <c r="W46" s="24" t="e">
        <f t="shared" si="6"/>
        <v>#DIV/0!</v>
      </c>
      <c r="X46" s="24" t="e">
        <f t="shared" si="6"/>
        <v>#DIV/0!</v>
      </c>
      <c r="Y46" s="24" t="e">
        <f t="shared" si="6"/>
        <v>#DIV/0!</v>
      </c>
      <c r="Z46" s="24" t="e">
        <f t="shared" si="6"/>
        <v>#DIV/0!</v>
      </c>
      <c r="AA46" s="24" t="e">
        <f t="shared" si="6"/>
        <v>#DIV/0!</v>
      </c>
    </row>
    <row r="47" spans="1:37" s="22" customFormat="1">
      <c r="A47" s="117"/>
      <c r="B47" s="23" t="s">
        <v>27</v>
      </c>
      <c r="C47" s="24" t="e">
        <f t="shared" ref="C47:AA47" si="7">$AI$18</f>
        <v>#DIV/0!</v>
      </c>
      <c r="D47" s="24" t="e">
        <f t="shared" si="7"/>
        <v>#DIV/0!</v>
      </c>
      <c r="E47" s="24" t="e">
        <f t="shared" si="7"/>
        <v>#DIV/0!</v>
      </c>
      <c r="F47" s="24" t="e">
        <f t="shared" si="7"/>
        <v>#DIV/0!</v>
      </c>
      <c r="G47" s="24" t="e">
        <f t="shared" si="7"/>
        <v>#DIV/0!</v>
      </c>
      <c r="H47" s="24" t="e">
        <f t="shared" si="7"/>
        <v>#DIV/0!</v>
      </c>
      <c r="I47" s="24" t="e">
        <f t="shared" si="7"/>
        <v>#DIV/0!</v>
      </c>
      <c r="J47" s="24" t="e">
        <f t="shared" si="7"/>
        <v>#DIV/0!</v>
      </c>
      <c r="K47" s="24" t="e">
        <f t="shared" si="7"/>
        <v>#DIV/0!</v>
      </c>
      <c r="L47" s="24" t="e">
        <f t="shared" si="7"/>
        <v>#DIV/0!</v>
      </c>
      <c r="M47" s="24" t="e">
        <f t="shared" si="7"/>
        <v>#DIV/0!</v>
      </c>
      <c r="N47" s="24" t="e">
        <f t="shared" si="7"/>
        <v>#DIV/0!</v>
      </c>
      <c r="O47" s="24" t="e">
        <f t="shared" si="7"/>
        <v>#DIV/0!</v>
      </c>
      <c r="P47" s="24" t="e">
        <f t="shared" si="7"/>
        <v>#DIV/0!</v>
      </c>
      <c r="Q47" s="24" t="e">
        <f t="shared" si="7"/>
        <v>#DIV/0!</v>
      </c>
      <c r="R47" s="24" t="e">
        <f t="shared" si="7"/>
        <v>#DIV/0!</v>
      </c>
      <c r="S47" s="24" t="e">
        <f t="shared" si="7"/>
        <v>#DIV/0!</v>
      </c>
      <c r="T47" s="24" t="e">
        <f t="shared" si="7"/>
        <v>#DIV/0!</v>
      </c>
      <c r="U47" s="24" t="e">
        <f t="shared" si="7"/>
        <v>#DIV/0!</v>
      </c>
      <c r="V47" s="24" t="e">
        <f t="shared" si="7"/>
        <v>#DIV/0!</v>
      </c>
      <c r="W47" s="24" t="e">
        <f t="shared" si="7"/>
        <v>#DIV/0!</v>
      </c>
      <c r="X47" s="24" t="e">
        <f t="shared" si="7"/>
        <v>#DIV/0!</v>
      </c>
      <c r="Y47" s="24" t="e">
        <f t="shared" si="7"/>
        <v>#DIV/0!</v>
      </c>
      <c r="Z47" s="24" t="e">
        <f t="shared" si="7"/>
        <v>#DIV/0!</v>
      </c>
      <c r="AA47" s="24" t="e">
        <f t="shared" si="7"/>
        <v>#DIV/0!</v>
      </c>
    </row>
    <row r="48" spans="1:37">
      <c r="A48" s="118" t="s">
        <v>65</v>
      </c>
      <c r="B48" s="24" t="s">
        <v>33</v>
      </c>
      <c r="C48" s="24">
        <f t="shared" ref="C48:AA49" si="8">$AH22</f>
        <v>0</v>
      </c>
      <c r="D48" s="24">
        <f t="shared" si="8"/>
        <v>0</v>
      </c>
      <c r="E48" s="24">
        <f t="shared" si="8"/>
        <v>0</v>
      </c>
      <c r="F48" s="24">
        <f t="shared" si="8"/>
        <v>0</v>
      </c>
      <c r="G48" s="24">
        <f t="shared" si="8"/>
        <v>0</v>
      </c>
      <c r="H48" s="24">
        <f t="shared" si="8"/>
        <v>0</v>
      </c>
      <c r="I48" s="24">
        <f t="shared" si="8"/>
        <v>0</v>
      </c>
      <c r="J48" s="24">
        <f t="shared" si="8"/>
        <v>0</v>
      </c>
      <c r="K48" s="24">
        <f t="shared" si="8"/>
        <v>0</v>
      </c>
      <c r="L48" s="24">
        <f t="shared" si="8"/>
        <v>0</v>
      </c>
      <c r="M48" s="24">
        <f t="shared" si="8"/>
        <v>0</v>
      </c>
      <c r="N48" s="24">
        <f t="shared" si="8"/>
        <v>0</v>
      </c>
      <c r="O48" s="24">
        <f t="shared" si="8"/>
        <v>0</v>
      </c>
      <c r="P48" s="24">
        <f t="shared" si="8"/>
        <v>0</v>
      </c>
      <c r="Q48" s="24">
        <f t="shared" si="8"/>
        <v>0</v>
      </c>
      <c r="R48" s="24">
        <f t="shared" si="8"/>
        <v>0</v>
      </c>
      <c r="S48" s="24">
        <f t="shared" si="8"/>
        <v>0</v>
      </c>
      <c r="T48" s="24">
        <f t="shared" si="8"/>
        <v>0</v>
      </c>
      <c r="U48" s="24">
        <f t="shared" si="8"/>
        <v>0</v>
      </c>
      <c r="V48" s="24">
        <f t="shared" si="8"/>
        <v>0</v>
      </c>
      <c r="W48" s="24">
        <f t="shared" si="8"/>
        <v>0</v>
      </c>
      <c r="X48" s="24">
        <f t="shared" si="8"/>
        <v>0</v>
      </c>
      <c r="Y48" s="24">
        <f t="shared" si="8"/>
        <v>0</v>
      </c>
      <c r="Z48" s="24">
        <f t="shared" si="8"/>
        <v>0</v>
      </c>
      <c r="AA48" s="24">
        <f t="shared" si="8"/>
        <v>0</v>
      </c>
    </row>
    <row r="49" spans="1:27">
      <c r="A49" s="118"/>
      <c r="B49" s="24" t="s">
        <v>35</v>
      </c>
      <c r="C49" s="24">
        <f t="shared" si="8"/>
        <v>0</v>
      </c>
      <c r="D49" s="24">
        <f t="shared" si="8"/>
        <v>0</v>
      </c>
      <c r="E49" s="24">
        <f t="shared" si="8"/>
        <v>0</v>
      </c>
      <c r="F49" s="24">
        <f t="shared" si="8"/>
        <v>0</v>
      </c>
      <c r="G49" s="24">
        <f t="shared" si="8"/>
        <v>0</v>
      </c>
      <c r="H49" s="24">
        <f t="shared" si="8"/>
        <v>0</v>
      </c>
      <c r="I49" s="24">
        <f t="shared" si="8"/>
        <v>0</v>
      </c>
      <c r="J49" s="24">
        <f t="shared" si="8"/>
        <v>0</v>
      </c>
      <c r="K49" s="24">
        <f t="shared" si="8"/>
        <v>0</v>
      </c>
      <c r="L49" s="24">
        <f t="shared" si="8"/>
        <v>0</v>
      </c>
      <c r="M49" s="24">
        <f t="shared" si="8"/>
        <v>0</v>
      </c>
      <c r="N49" s="24">
        <f t="shared" si="8"/>
        <v>0</v>
      </c>
      <c r="O49" s="24">
        <f t="shared" si="8"/>
        <v>0</v>
      </c>
      <c r="P49" s="24">
        <f t="shared" si="8"/>
        <v>0</v>
      </c>
      <c r="Q49" s="24">
        <f t="shared" si="8"/>
        <v>0</v>
      </c>
      <c r="R49" s="24">
        <f t="shared" si="8"/>
        <v>0</v>
      </c>
      <c r="S49" s="24">
        <f t="shared" si="8"/>
        <v>0</v>
      </c>
      <c r="T49" s="24">
        <f t="shared" si="8"/>
        <v>0</v>
      </c>
      <c r="U49" s="24">
        <f t="shared" si="8"/>
        <v>0</v>
      </c>
      <c r="V49" s="24">
        <f t="shared" si="8"/>
        <v>0</v>
      </c>
      <c r="W49" s="24">
        <f t="shared" si="8"/>
        <v>0</v>
      </c>
      <c r="X49" s="24">
        <f t="shared" si="8"/>
        <v>0</v>
      </c>
      <c r="Y49" s="24">
        <f t="shared" si="8"/>
        <v>0</v>
      </c>
      <c r="Z49" s="24">
        <f t="shared" si="8"/>
        <v>0</v>
      </c>
      <c r="AA49" s="24">
        <f t="shared" si="8"/>
        <v>0</v>
      </c>
    </row>
  </sheetData>
  <sheetProtection password="E437" sheet="1" objects="1" scenarios="1"/>
  <mergeCells count="116">
    <mergeCell ref="A39:B39"/>
    <mergeCell ref="A42:A44"/>
    <mergeCell ref="A45:A47"/>
    <mergeCell ref="A48:A49"/>
    <mergeCell ref="AF35:AK35"/>
    <mergeCell ref="AB36:AE36"/>
    <mergeCell ref="AF36:AK36"/>
    <mergeCell ref="AB37:AE37"/>
    <mergeCell ref="AF37:AK37"/>
    <mergeCell ref="A38:B38"/>
    <mergeCell ref="AB38:AE38"/>
    <mergeCell ref="AF38:AK38"/>
    <mergeCell ref="AB27:AC27"/>
    <mergeCell ref="AD27:AG27"/>
    <mergeCell ref="AH27:AK27"/>
    <mergeCell ref="AB28:AK28"/>
    <mergeCell ref="AB29:AK33"/>
    <mergeCell ref="A31:B31"/>
    <mergeCell ref="A32:B32"/>
    <mergeCell ref="A33:A37"/>
    <mergeCell ref="AB34:AK34"/>
    <mergeCell ref="AB35:AE35"/>
    <mergeCell ref="A19:A30"/>
    <mergeCell ref="AB19:AK19"/>
    <mergeCell ref="AB20:AC20"/>
    <mergeCell ref="AD20:AG20"/>
    <mergeCell ref="AH20:AK20"/>
    <mergeCell ref="AB21:AC21"/>
    <mergeCell ref="AD21:AG21"/>
    <mergeCell ref="AH21:AK21"/>
    <mergeCell ref="AB25:AC25"/>
    <mergeCell ref="AD25:AG25"/>
    <mergeCell ref="AH25:AK25"/>
    <mergeCell ref="AB26:AC26"/>
    <mergeCell ref="AD26:AG26"/>
    <mergeCell ref="AH26:AK26"/>
    <mergeCell ref="AH22:AK22"/>
    <mergeCell ref="AB23:AC23"/>
    <mergeCell ref="AD23:AG23"/>
    <mergeCell ref="AH23:AK23"/>
    <mergeCell ref="AB24:AC24"/>
    <mergeCell ref="AD24:AG24"/>
    <mergeCell ref="AH24:AK24"/>
    <mergeCell ref="AB22:AC22"/>
    <mergeCell ref="AD22:AG22"/>
    <mergeCell ref="AC16:AC18"/>
    <mergeCell ref="AD16:AE16"/>
    <mergeCell ref="AF16:AH16"/>
    <mergeCell ref="AI16:AK16"/>
    <mergeCell ref="AD17:AE17"/>
    <mergeCell ref="AF17:AH17"/>
    <mergeCell ref="AI17:AK17"/>
    <mergeCell ref="AD18:AE18"/>
    <mergeCell ref="AF18:AH18"/>
    <mergeCell ref="AI18:AK18"/>
    <mergeCell ref="AF10:AG10"/>
    <mergeCell ref="AH10:AI10"/>
    <mergeCell ref="AJ10:AK10"/>
    <mergeCell ref="AF13:AH13"/>
    <mergeCell ref="AI13:AK13"/>
    <mergeCell ref="AD14:AE14"/>
    <mergeCell ref="AF14:AH14"/>
    <mergeCell ref="AI14:AK14"/>
    <mergeCell ref="AD15:AE15"/>
    <mergeCell ref="AF15:AH15"/>
    <mergeCell ref="AI15:AK15"/>
    <mergeCell ref="AD11:AE11"/>
    <mergeCell ref="AF11:AG11"/>
    <mergeCell ref="AH11:AI11"/>
    <mergeCell ref="AJ11:AK11"/>
    <mergeCell ref="A7:A18"/>
    <mergeCell ref="AB7:AK7"/>
    <mergeCell ref="AB8:AC11"/>
    <mergeCell ref="AD8:AE8"/>
    <mergeCell ref="AF8:AG8"/>
    <mergeCell ref="AH8:AI8"/>
    <mergeCell ref="AJ8:AK8"/>
    <mergeCell ref="A6:C6"/>
    <mergeCell ref="D6:H6"/>
    <mergeCell ref="I6:K6"/>
    <mergeCell ref="L6:M6"/>
    <mergeCell ref="O6:P6"/>
    <mergeCell ref="R6:U6"/>
    <mergeCell ref="AB12:AB18"/>
    <mergeCell ref="AC12:AE12"/>
    <mergeCell ref="AF12:AH12"/>
    <mergeCell ref="AI12:AK12"/>
    <mergeCell ref="AC13:AC15"/>
    <mergeCell ref="AD13:AE13"/>
    <mergeCell ref="AD9:AE9"/>
    <mergeCell ref="AF9:AG9"/>
    <mergeCell ref="AH9:AI9"/>
    <mergeCell ref="AJ9:AK9"/>
    <mergeCell ref="AD10:AE10"/>
    <mergeCell ref="A5:C5"/>
    <mergeCell ref="D5:H5"/>
    <mergeCell ref="I5:K5"/>
    <mergeCell ref="L5:Q5"/>
    <mergeCell ref="R5:U5"/>
    <mergeCell ref="V5:AA5"/>
    <mergeCell ref="AB5:AE5"/>
    <mergeCell ref="AF5:AK5"/>
    <mergeCell ref="V6:AA6"/>
    <mergeCell ref="AB6:AE6"/>
    <mergeCell ref="AF6:AK6"/>
    <mergeCell ref="A2:C3"/>
    <mergeCell ref="D2:AE3"/>
    <mergeCell ref="AF2:AK3"/>
    <mergeCell ref="A4:C4"/>
    <mergeCell ref="D4:H4"/>
    <mergeCell ref="I4:K4"/>
    <mergeCell ref="L4:Q4"/>
    <mergeCell ref="R4:U4"/>
    <mergeCell ref="V4:AA4"/>
    <mergeCell ref="AB4:AE4"/>
    <mergeCell ref="AF4:AK4"/>
  </mergeCells>
  <printOptions horizontalCentered="1" verticalCentered="1"/>
  <pageMargins left="0.19685039370078741" right="0.19685039370078741" top="0.19685039370078741" bottom="0.19685039370078741" header="0" footer="0"/>
  <pageSetup paperSize="9" scale="70" orientation="landscape" horizontalDpi="4294967294" r:id="rId1"/>
  <headerFooter scaleWithDoc="0" alignWithMargins="0"/>
  <drawing r:id="rId2"/>
  <legacyDrawing r:id="rId3"/>
  <oleObjects>
    <oleObject progId="Equation.3" shapeId="1025" r:id="rId4"/>
    <oleObject progId="Equation.3" shapeId="1026" r:id="rId5"/>
    <oleObject progId="Equation.3" shapeId="1027" r:id="rId6"/>
    <oleObject progId="Equation.3" shapeId="1028" r:id="rId7"/>
    <oleObject progId="Equation.3" shapeId="1029" r:id="rId8"/>
    <oleObject progId="Equation.3" shapeId="1030" r:id="rId9"/>
    <oleObject progId="Equation.3" shapeId="1031" r:id="rId10"/>
    <oleObject progId="Equation.3" shapeId="1032" r:id="rId11"/>
  </oleObject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P49"/>
  <sheetViews>
    <sheetView showGridLines="0" tabSelected="1" view="pageBreakPreview" zoomScaleSheetLayoutView="100" workbookViewId="0">
      <selection activeCell="C42" sqref="C42"/>
    </sheetView>
  </sheetViews>
  <sheetFormatPr defaultColWidth="11.28515625" defaultRowHeight="15"/>
  <cols>
    <col min="1" max="1" width="5.7109375" style="1" customWidth="1"/>
    <col min="2" max="2" width="6.28515625" style="1" customWidth="1"/>
    <col min="3" max="23" width="7.85546875" style="1" customWidth="1"/>
    <col min="24" max="24" width="7.5703125" style="1" customWidth="1"/>
    <col min="25" max="25" width="8.140625" style="1" customWidth="1"/>
    <col min="26" max="26" width="8.7109375" style="1" customWidth="1"/>
    <col min="27" max="27" width="8.42578125" style="1" customWidth="1"/>
    <col min="28" max="28" width="4.42578125" style="1" customWidth="1"/>
    <col min="29" max="30" width="3.140625" style="1" customWidth="1"/>
    <col min="31" max="31" width="3.85546875" style="1" customWidth="1"/>
    <col min="32" max="32" width="3.140625" style="1" customWidth="1"/>
    <col min="33" max="33" width="4.42578125" style="1" customWidth="1"/>
    <col min="34" max="34" width="5" style="1" customWidth="1"/>
    <col min="35" max="35" width="4.5703125" style="1" customWidth="1"/>
    <col min="36" max="37" width="3.140625" style="1" customWidth="1"/>
    <col min="38" max="256" width="11.28515625" style="1"/>
    <col min="257" max="257" width="5.7109375" style="1" customWidth="1"/>
    <col min="258" max="258" width="6.28515625" style="1" customWidth="1"/>
    <col min="259" max="283" width="6.140625" style="1" customWidth="1"/>
    <col min="284" max="284" width="4.42578125" style="1" customWidth="1"/>
    <col min="285" max="286" width="3.140625" style="1" customWidth="1"/>
    <col min="287" max="287" width="3.85546875" style="1" customWidth="1"/>
    <col min="288" max="288" width="3.140625" style="1" customWidth="1"/>
    <col min="289" max="289" width="4.42578125" style="1" customWidth="1"/>
    <col min="290" max="290" width="3.140625" style="1" customWidth="1"/>
    <col min="291" max="291" width="7.7109375" style="1" customWidth="1"/>
    <col min="292" max="293" width="3.140625" style="1" customWidth="1"/>
    <col min="294" max="512" width="11.28515625" style="1"/>
    <col min="513" max="513" width="5.7109375" style="1" customWidth="1"/>
    <col min="514" max="514" width="6.28515625" style="1" customWidth="1"/>
    <col min="515" max="539" width="6.140625" style="1" customWidth="1"/>
    <col min="540" max="540" width="4.42578125" style="1" customWidth="1"/>
    <col min="541" max="542" width="3.140625" style="1" customWidth="1"/>
    <col min="543" max="543" width="3.85546875" style="1" customWidth="1"/>
    <col min="544" max="544" width="3.140625" style="1" customWidth="1"/>
    <col min="545" max="545" width="4.42578125" style="1" customWidth="1"/>
    <col min="546" max="546" width="3.140625" style="1" customWidth="1"/>
    <col min="547" max="547" width="7.7109375" style="1" customWidth="1"/>
    <col min="548" max="549" width="3.140625" style="1" customWidth="1"/>
    <col min="550" max="768" width="11.28515625" style="1"/>
    <col min="769" max="769" width="5.7109375" style="1" customWidth="1"/>
    <col min="770" max="770" width="6.28515625" style="1" customWidth="1"/>
    <col min="771" max="795" width="6.140625" style="1" customWidth="1"/>
    <col min="796" max="796" width="4.42578125" style="1" customWidth="1"/>
    <col min="797" max="798" width="3.140625" style="1" customWidth="1"/>
    <col min="799" max="799" width="3.85546875" style="1" customWidth="1"/>
    <col min="800" max="800" width="3.140625" style="1" customWidth="1"/>
    <col min="801" max="801" width="4.42578125" style="1" customWidth="1"/>
    <col min="802" max="802" width="3.140625" style="1" customWidth="1"/>
    <col min="803" max="803" width="7.7109375" style="1" customWidth="1"/>
    <col min="804" max="805" width="3.140625" style="1" customWidth="1"/>
    <col min="806" max="1024" width="11.28515625" style="1"/>
    <col min="1025" max="1025" width="5.7109375" style="1" customWidth="1"/>
    <col min="1026" max="1026" width="6.28515625" style="1" customWidth="1"/>
    <col min="1027" max="1051" width="6.140625" style="1" customWidth="1"/>
    <col min="1052" max="1052" width="4.42578125" style="1" customWidth="1"/>
    <col min="1053" max="1054" width="3.140625" style="1" customWidth="1"/>
    <col min="1055" max="1055" width="3.85546875" style="1" customWidth="1"/>
    <col min="1056" max="1056" width="3.140625" style="1" customWidth="1"/>
    <col min="1057" max="1057" width="4.42578125" style="1" customWidth="1"/>
    <col min="1058" max="1058" width="3.140625" style="1" customWidth="1"/>
    <col min="1059" max="1059" width="7.7109375" style="1" customWidth="1"/>
    <col min="1060" max="1061" width="3.140625" style="1" customWidth="1"/>
    <col min="1062" max="1280" width="11.28515625" style="1"/>
    <col min="1281" max="1281" width="5.7109375" style="1" customWidth="1"/>
    <col min="1282" max="1282" width="6.28515625" style="1" customWidth="1"/>
    <col min="1283" max="1307" width="6.140625" style="1" customWidth="1"/>
    <col min="1308" max="1308" width="4.42578125" style="1" customWidth="1"/>
    <col min="1309" max="1310" width="3.140625" style="1" customWidth="1"/>
    <col min="1311" max="1311" width="3.85546875" style="1" customWidth="1"/>
    <col min="1312" max="1312" width="3.140625" style="1" customWidth="1"/>
    <col min="1313" max="1313" width="4.42578125" style="1" customWidth="1"/>
    <col min="1314" max="1314" width="3.140625" style="1" customWidth="1"/>
    <col min="1315" max="1315" width="7.7109375" style="1" customWidth="1"/>
    <col min="1316" max="1317" width="3.140625" style="1" customWidth="1"/>
    <col min="1318" max="1536" width="11.28515625" style="1"/>
    <col min="1537" max="1537" width="5.7109375" style="1" customWidth="1"/>
    <col min="1538" max="1538" width="6.28515625" style="1" customWidth="1"/>
    <col min="1539" max="1563" width="6.140625" style="1" customWidth="1"/>
    <col min="1564" max="1564" width="4.42578125" style="1" customWidth="1"/>
    <col min="1565" max="1566" width="3.140625" style="1" customWidth="1"/>
    <col min="1567" max="1567" width="3.85546875" style="1" customWidth="1"/>
    <col min="1568" max="1568" width="3.140625" style="1" customWidth="1"/>
    <col min="1569" max="1569" width="4.42578125" style="1" customWidth="1"/>
    <col min="1570" max="1570" width="3.140625" style="1" customWidth="1"/>
    <col min="1571" max="1571" width="7.7109375" style="1" customWidth="1"/>
    <col min="1572" max="1573" width="3.140625" style="1" customWidth="1"/>
    <col min="1574" max="1792" width="11.28515625" style="1"/>
    <col min="1793" max="1793" width="5.7109375" style="1" customWidth="1"/>
    <col min="1794" max="1794" width="6.28515625" style="1" customWidth="1"/>
    <col min="1795" max="1819" width="6.140625" style="1" customWidth="1"/>
    <col min="1820" max="1820" width="4.42578125" style="1" customWidth="1"/>
    <col min="1821" max="1822" width="3.140625" style="1" customWidth="1"/>
    <col min="1823" max="1823" width="3.85546875" style="1" customWidth="1"/>
    <col min="1824" max="1824" width="3.140625" style="1" customWidth="1"/>
    <col min="1825" max="1825" width="4.42578125" style="1" customWidth="1"/>
    <col min="1826" max="1826" width="3.140625" style="1" customWidth="1"/>
    <col min="1827" max="1827" width="7.7109375" style="1" customWidth="1"/>
    <col min="1828" max="1829" width="3.140625" style="1" customWidth="1"/>
    <col min="1830" max="2048" width="11.28515625" style="1"/>
    <col min="2049" max="2049" width="5.7109375" style="1" customWidth="1"/>
    <col min="2050" max="2050" width="6.28515625" style="1" customWidth="1"/>
    <col min="2051" max="2075" width="6.140625" style="1" customWidth="1"/>
    <col min="2076" max="2076" width="4.42578125" style="1" customWidth="1"/>
    <col min="2077" max="2078" width="3.140625" style="1" customWidth="1"/>
    <col min="2079" max="2079" width="3.85546875" style="1" customWidth="1"/>
    <col min="2080" max="2080" width="3.140625" style="1" customWidth="1"/>
    <col min="2081" max="2081" width="4.42578125" style="1" customWidth="1"/>
    <col min="2082" max="2082" width="3.140625" style="1" customWidth="1"/>
    <col min="2083" max="2083" width="7.7109375" style="1" customWidth="1"/>
    <col min="2084" max="2085" width="3.140625" style="1" customWidth="1"/>
    <col min="2086" max="2304" width="11.28515625" style="1"/>
    <col min="2305" max="2305" width="5.7109375" style="1" customWidth="1"/>
    <col min="2306" max="2306" width="6.28515625" style="1" customWidth="1"/>
    <col min="2307" max="2331" width="6.140625" style="1" customWidth="1"/>
    <col min="2332" max="2332" width="4.42578125" style="1" customWidth="1"/>
    <col min="2333" max="2334" width="3.140625" style="1" customWidth="1"/>
    <col min="2335" max="2335" width="3.85546875" style="1" customWidth="1"/>
    <col min="2336" max="2336" width="3.140625" style="1" customWidth="1"/>
    <col min="2337" max="2337" width="4.42578125" style="1" customWidth="1"/>
    <col min="2338" max="2338" width="3.140625" style="1" customWidth="1"/>
    <col min="2339" max="2339" width="7.7109375" style="1" customWidth="1"/>
    <col min="2340" max="2341" width="3.140625" style="1" customWidth="1"/>
    <col min="2342" max="2560" width="11.28515625" style="1"/>
    <col min="2561" max="2561" width="5.7109375" style="1" customWidth="1"/>
    <col min="2562" max="2562" width="6.28515625" style="1" customWidth="1"/>
    <col min="2563" max="2587" width="6.140625" style="1" customWidth="1"/>
    <col min="2588" max="2588" width="4.42578125" style="1" customWidth="1"/>
    <col min="2589" max="2590" width="3.140625" style="1" customWidth="1"/>
    <col min="2591" max="2591" width="3.85546875" style="1" customWidth="1"/>
    <col min="2592" max="2592" width="3.140625" style="1" customWidth="1"/>
    <col min="2593" max="2593" width="4.42578125" style="1" customWidth="1"/>
    <col min="2594" max="2594" width="3.140625" style="1" customWidth="1"/>
    <col min="2595" max="2595" width="7.7109375" style="1" customWidth="1"/>
    <col min="2596" max="2597" width="3.140625" style="1" customWidth="1"/>
    <col min="2598" max="2816" width="11.28515625" style="1"/>
    <col min="2817" max="2817" width="5.7109375" style="1" customWidth="1"/>
    <col min="2818" max="2818" width="6.28515625" style="1" customWidth="1"/>
    <col min="2819" max="2843" width="6.140625" style="1" customWidth="1"/>
    <col min="2844" max="2844" width="4.42578125" style="1" customWidth="1"/>
    <col min="2845" max="2846" width="3.140625" style="1" customWidth="1"/>
    <col min="2847" max="2847" width="3.85546875" style="1" customWidth="1"/>
    <col min="2848" max="2848" width="3.140625" style="1" customWidth="1"/>
    <col min="2849" max="2849" width="4.42578125" style="1" customWidth="1"/>
    <col min="2850" max="2850" width="3.140625" style="1" customWidth="1"/>
    <col min="2851" max="2851" width="7.7109375" style="1" customWidth="1"/>
    <col min="2852" max="2853" width="3.140625" style="1" customWidth="1"/>
    <col min="2854" max="3072" width="11.28515625" style="1"/>
    <col min="3073" max="3073" width="5.7109375" style="1" customWidth="1"/>
    <col min="3074" max="3074" width="6.28515625" style="1" customWidth="1"/>
    <col min="3075" max="3099" width="6.140625" style="1" customWidth="1"/>
    <col min="3100" max="3100" width="4.42578125" style="1" customWidth="1"/>
    <col min="3101" max="3102" width="3.140625" style="1" customWidth="1"/>
    <col min="3103" max="3103" width="3.85546875" style="1" customWidth="1"/>
    <col min="3104" max="3104" width="3.140625" style="1" customWidth="1"/>
    <col min="3105" max="3105" width="4.42578125" style="1" customWidth="1"/>
    <col min="3106" max="3106" width="3.140625" style="1" customWidth="1"/>
    <col min="3107" max="3107" width="7.7109375" style="1" customWidth="1"/>
    <col min="3108" max="3109" width="3.140625" style="1" customWidth="1"/>
    <col min="3110" max="3328" width="11.28515625" style="1"/>
    <col min="3329" max="3329" width="5.7109375" style="1" customWidth="1"/>
    <col min="3330" max="3330" width="6.28515625" style="1" customWidth="1"/>
    <col min="3331" max="3355" width="6.140625" style="1" customWidth="1"/>
    <col min="3356" max="3356" width="4.42578125" style="1" customWidth="1"/>
    <col min="3357" max="3358" width="3.140625" style="1" customWidth="1"/>
    <col min="3359" max="3359" width="3.85546875" style="1" customWidth="1"/>
    <col min="3360" max="3360" width="3.140625" style="1" customWidth="1"/>
    <col min="3361" max="3361" width="4.42578125" style="1" customWidth="1"/>
    <col min="3362" max="3362" width="3.140625" style="1" customWidth="1"/>
    <col min="3363" max="3363" width="7.7109375" style="1" customWidth="1"/>
    <col min="3364" max="3365" width="3.140625" style="1" customWidth="1"/>
    <col min="3366" max="3584" width="11.28515625" style="1"/>
    <col min="3585" max="3585" width="5.7109375" style="1" customWidth="1"/>
    <col min="3586" max="3586" width="6.28515625" style="1" customWidth="1"/>
    <col min="3587" max="3611" width="6.140625" style="1" customWidth="1"/>
    <col min="3612" max="3612" width="4.42578125" style="1" customWidth="1"/>
    <col min="3613" max="3614" width="3.140625" style="1" customWidth="1"/>
    <col min="3615" max="3615" width="3.85546875" style="1" customWidth="1"/>
    <col min="3616" max="3616" width="3.140625" style="1" customWidth="1"/>
    <col min="3617" max="3617" width="4.42578125" style="1" customWidth="1"/>
    <col min="3618" max="3618" width="3.140625" style="1" customWidth="1"/>
    <col min="3619" max="3619" width="7.7109375" style="1" customWidth="1"/>
    <col min="3620" max="3621" width="3.140625" style="1" customWidth="1"/>
    <col min="3622" max="3840" width="11.28515625" style="1"/>
    <col min="3841" max="3841" width="5.7109375" style="1" customWidth="1"/>
    <col min="3842" max="3842" width="6.28515625" style="1" customWidth="1"/>
    <col min="3843" max="3867" width="6.140625" style="1" customWidth="1"/>
    <col min="3868" max="3868" width="4.42578125" style="1" customWidth="1"/>
    <col min="3869" max="3870" width="3.140625" style="1" customWidth="1"/>
    <col min="3871" max="3871" width="3.85546875" style="1" customWidth="1"/>
    <col min="3872" max="3872" width="3.140625" style="1" customWidth="1"/>
    <col min="3873" max="3873" width="4.42578125" style="1" customWidth="1"/>
    <col min="3874" max="3874" width="3.140625" style="1" customWidth="1"/>
    <col min="3875" max="3875" width="7.7109375" style="1" customWidth="1"/>
    <col min="3876" max="3877" width="3.140625" style="1" customWidth="1"/>
    <col min="3878" max="4096" width="11.28515625" style="1"/>
    <col min="4097" max="4097" width="5.7109375" style="1" customWidth="1"/>
    <col min="4098" max="4098" width="6.28515625" style="1" customWidth="1"/>
    <col min="4099" max="4123" width="6.140625" style="1" customWidth="1"/>
    <col min="4124" max="4124" width="4.42578125" style="1" customWidth="1"/>
    <col min="4125" max="4126" width="3.140625" style="1" customWidth="1"/>
    <col min="4127" max="4127" width="3.85546875" style="1" customWidth="1"/>
    <col min="4128" max="4128" width="3.140625" style="1" customWidth="1"/>
    <col min="4129" max="4129" width="4.42578125" style="1" customWidth="1"/>
    <col min="4130" max="4130" width="3.140625" style="1" customWidth="1"/>
    <col min="4131" max="4131" width="7.7109375" style="1" customWidth="1"/>
    <col min="4132" max="4133" width="3.140625" style="1" customWidth="1"/>
    <col min="4134" max="4352" width="11.28515625" style="1"/>
    <col min="4353" max="4353" width="5.7109375" style="1" customWidth="1"/>
    <col min="4354" max="4354" width="6.28515625" style="1" customWidth="1"/>
    <col min="4355" max="4379" width="6.140625" style="1" customWidth="1"/>
    <col min="4380" max="4380" width="4.42578125" style="1" customWidth="1"/>
    <col min="4381" max="4382" width="3.140625" style="1" customWidth="1"/>
    <col min="4383" max="4383" width="3.85546875" style="1" customWidth="1"/>
    <col min="4384" max="4384" width="3.140625" style="1" customWidth="1"/>
    <col min="4385" max="4385" width="4.42578125" style="1" customWidth="1"/>
    <col min="4386" max="4386" width="3.140625" style="1" customWidth="1"/>
    <col min="4387" max="4387" width="7.7109375" style="1" customWidth="1"/>
    <col min="4388" max="4389" width="3.140625" style="1" customWidth="1"/>
    <col min="4390" max="4608" width="11.28515625" style="1"/>
    <col min="4609" max="4609" width="5.7109375" style="1" customWidth="1"/>
    <col min="4610" max="4610" width="6.28515625" style="1" customWidth="1"/>
    <col min="4611" max="4635" width="6.140625" style="1" customWidth="1"/>
    <col min="4636" max="4636" width="4.42578125" style="1" customWidth="1"/>
    <col min="4637" max="4638" width="3.140625" style="1" customWidth="1"/>
    <col min="4639" max="4639" width="3.85546875" style="1" customWidth="1"/>
    <col min="4640" max="4640" width="3.140625" style="1" customWidth="1"/>
    <col min="4641" max="4641" width="4.42578125" style="1" customWidth="1"/>
    <col min="4642" max="4642" width="3.140625" style="1" customWidth="1"/>
    <col min="4643" max="4643" width="7.7109375" style="1" customWidth="1"/>
    <col min="4644" max="4645" width="3.140625" style="1" customWidth="1"/>
    <col min="4646" max="4864" width="11.28515625" style="1"/>
    <col min="4865" max="4865" width="5.7109375" style="1" customWidth="1"/>
    <col min="4866" max="4866" width="6.28515625" style="1" customWidth="1"/>
    <col min="4867" max="4891" width="6.140625" style="1" customWidth="1"/>
    <col min="4892" max="4892" width="4.42578125" style="1" customWidth="1"/>
    <col min="4893" max="4894" width="3.140625" style="1" customWidth="1"/>
    <col min="4895" max="4895" width="3.85546875" style="1" customWidth="1"/>
    <col min="4896" max="4896" width="3.140625" style="1" customWidth="1"/>
    <col min="4897" max="4897" width="4.42578125" style="1" customWidth="1"/>
    <col min="4898" max="4898" width="3.140625" style="1" customWidth="1"/>
    <col min="4899" max="4899" width="7.7109375" style="1" customWidth="1"/>
    <col min="4900" max="4901" width="3.140625" style="1" customWidth="1"/>
    <col min="4902" max="5120" width="11.28515625" style="1"/>
    <col min="5121" max="5121" width="5.7109375" style="1" customWidth="1"/>
    <col min="5122" max="5122" width="6.28515625" style="1" customWidth="1"/>
    <col min="5123" max="5147" width="6.140625" style="1" customWidth="1"/>
    <col min="5148" max="5148" width="4.42578125" style="1" customWidth="1"/>
    <col min="5149" max="5150" width="3.140625" style="1" customWidth="1"/>
    <col min="5151" max="5151" width="3.85546875" style="1" customWidth="1"/>
    <col min="5152" max="5152" width="3.140625" style="1" customWidth="1"/>
    <col min="5153" max="5153" width="4.42578125" style="1" customWidth="1"/>
    <col min="5154" max="5154" width="3.140625" style="1" customWidth="1"/>
    <col min="5155" max="5155" width="7.7109375" style="1" customWidth="1"/>
    <col min="5156" max="5157" width="3.140625" style="1" customWidth="1"/>
    <col min="5158" max="5376" width="11.28515625" style="1"/>
    <col min="5377" max="5377" width="5.7109375" style="1" customWidth="1"/>
    <col min="5378" max="5378" width="6.28515625" style="1" customWidth="1"/>
    <col min="5379" max="5403" width="6.140625" style="1" customWidth="1"/>
    <col min="5404" max="5404" width="4.42578125" style="1" customWidth="1"/>
    <col min="5405" max="5406" width="3.140625" style="1" customWidth="1"/>
    <col min="5407" max="5407" width="3.85546875" style="1" customWidth="1"/>
    <col min="5408" max="5408" width="3.140625" style="1" customWidth="1"/>
    <col min="5409" max="5409" width="4.42578125" style="1" customWidth="1"/>
    <col min="5410" max="5410" width="3.140625" style="1" customWidth="1"/>
    <col min="5411" max="5411" width="7.7109375" style="1" customWidth="1"/>
    <col min="5412" max="5413" width="3.140625" style="1" customWidth="1"/>
    <col min="5414" max="5632" width="11.28515625" style="1"/>
    <col min="5633" max="5633" width="5.7109375" style="1" customWidth="1"/>
    <col min="5634" max="5634" width="6.28515625" style="1" customWidth="1"/>
    <col min="5635" max="5659" width="6.140625" style="1" customWidth="1"/>
    <col min="5660" max="5660" width="4.42578125" style="1" customWidth="1"/>
    <col min="5661" max="5662" width="3.140625" style="1" customWidth="1"/>
    <col min="5663" max="5663" width="3.85546875" style="1" customWidth="1"/>
    <col min="5664" max="5664" width="3.140625" style="1" customWidth="1"/>
    <col min="5665" max="5665" width="4.42578125" style="1" customWidth="1"/>
    <col min="5666" max="5666" width="3.140625" style="1" customWidth="1"/>
    <col min="5667" max="5667" width="7.7109375" style="1" customWidth="1"/>
    <col min="5668" max="5669" width="3.140625" style="1" customWidth="1"/>
    <col min="5670" max="5888" width="11.28515625" style="1"/>
    <col min="5889" max="5889" width="5.7109375" style="1" customWidth="1"/>
    <col min="5890" max="5890" width="6.28515625" style="1" customWidth="1"/>
    <col min="5891" max="5915" width="6.140625" style="1" customWidth="1"/>
    <col min="5916" max="5916" width="4.42578125" style="1" customWidth="1"/>
    <col min="5917" max="5918" width="3.140625" style="1" customWidth="1"/>
    <col min="5919" max="5919" width="3.85546875" style="1" customWidth="1"/>
    <col min="5920" max="5920" width="3.140625" style="1" customWidth="1"/>
    <col min="5921" max="5921" width="4.42578125" style="1" customWidth="1"/>
    <col min="5922" max="5922" width="3.140625" style="1" customWidth="1"/>
    <col min="5923" max="5923" width="7.7109375" style="1" customWidth="1"/>
    <col min="5924" max="5925" width="3.140625" style="1" customWidth="1"/>
    <col min="5926" max="6144" width="11.28515625" style="1"/>
    <col min="6145" max="6145" width="5.7109375" style="1" customWidth="1"/>
    <col min="6146" max="6146" width="6.28515625" style="1" customWidth="1"/>
    <col min="6147" max="6171" width="6.140625" style="1" customWidth="1"/>
    <col min="6172" max="6172" width="4.42578125" style="1" customWidth="1"/>
    <col min="6173" max="6174" width="3.140625" style="1" customWidth="1"/>
    <col min="6175" max="6175" width="3.85546875" style="1" customWidth="1"/>
    <col min="6176" max="6176" width="3.140625" style="1" customWidth="1"/>
    <col min="6177" max="6177" width="4.42578125" style="1" customWidth="1"/>
    <col min="6178" max="6178" width="3.140625" style="1" customWidth="1"/>
    <col min="6179" max="6179" width="7.7109375" style="1" customWidth="1"/>
    <col min="6180" max="6181" width="3.140625" style="1" customWidth="1"/>
    <col min="6182" max="6400" width="11.28515625" style="1"/>
    <col min="6401" max="6401" width="5.7109375" style="1" customWidth="1"/>
    <col min="6402" max="6402" width="6.28515625" style="1" customWidth="1"/>
    <col min="6403" max="6427" width="6.140625" style="1" customWidth="1"/>
    <col min="6428" max="6428" width="4.42578125" style="1" customWidth="1"/>
    <col min="6429" max="6430" width="3.140625" style="1" customWidth="1"/>
    <col min="6431" max="6431" width="3.85546875" style="1" customWidth="1"/>
    <col min="6432" max="6432" width="3.140625" style="1" customWidth="1"/>
    <col min="6433" max="6433" width="4.42578125" style="1" customWidth="1"/>
    <col min="6434" max="6434" width="3.140625" style="1" customWidth="1"/>
    <col min="6435" max="6435" width="7.7109375" style="1" customWidth="1"/>
    <col min="6436" max="6437" width="3.140625" style="1" customWidth="1"/>
    <col min="6438" max="6656" width="11.28515625" style="1"/>
    <col min="6657" max="6657" width="5.7109375" style="1" customWidth="1"/>
    <col min="6658" max="6658" width="6.28515625" style="1" customWidth="1"/>
    <col min="6659" max="6683" width="6.140625" style="1" customWidth="1"/>
    <col min="6684" max="6684" width="4.42578125" style="1" customWidth="1"/>
    <col min="6685" max="6686" width="3.140625" style="1" customWidth="1"/>
    <col min="6687" max="6687" width="3.85546875" style="1" customWidth="1"/>
    <col min="6688" max="6688" width="3.140625" style="1" customWidth="1"/>
    <col min="6689" max="6689" width="4.42578125" style="1" customWidth="1"/>
    <col min="6690" max="6690" width="3.140625" style="1" customWidth="1"/>
    <col min="6691" max="6691" width="7.7109375" style="1" customWidth="1"/>
    <col min="6692" max="6693" width="3.140625" style="1" customWidth="1"/>
    <col min="6694" max="6912" width="11.28515625" style="1"/>
    <col min="6913" max="6913" width="5.7109375" style="1" customWidth="1"/>
    <col min="6914" max="6914" width="6.28515625" style="1" customWidth="1"/>
    <col min="6915" max="6939" width="6.140625" style="1" customWidth="1"/>
    <col min="6940" max="6940" width="4.42578125" style="1" customWidth="1"/>
    <col min="6941" max="6942" width="3.140625" style="1" customWidth="1"/>
    <col min="6943" max="6943" width="3.85546875" style="1" customWidth="1"/>
    <col min="6944" max="6944" width="3.140625" style="1" customWidth="1"/>
    <col min="6945" max="6945" width="4.42578125" style="1" customWidth="1"/>
    <col min="6946" max="6946" width="3.140625" style="1" customWidth="1"/>
    <col min="6947" max="6947" width="7.7109375" style="1" customWidth="1"/>
    <col min="6948" max="6949" width="3.140625" style="1" customWidth="1"/>
    <col min="6950" max="7168" width="11.28515625" style="1"/>
    <col min="7169" max="7169" width="5.7109375" style="1" customWidth="1"/>
    <col min="7170" max="7170" width="6.28515625" style="1" customWidth="1"/>
    <col min="7171" max="7195" width="6.140625" style="1" customWidth="1"/>
    <col min="7196" max="7196" width="4.42578125" style="1" customWidth="1"/>
    <col min="7197" max="7198" width="3.140625" style="1" customWidth="1"/>
    <col min="7199" max="7199" width="3.85546875" style="1" customWidth="1"/>
    <col min="7200" max="7200" width="3.140625" style="1" customWidth="1"/>
    <col min="7201" max="7201" width="4.42578125" style="1" customWidth="1"/>
    <col min="7202" max="7202" width="3.140625" style="1" customWidth="1"/>
    <col min="7203" max="7203" width="7.7109375" style="1" customWidth="1"/>
    <col min="7204" max="7205" width="3.140625" style="1" customWidth="1"/>
    <col min="7206" max="7424" width="11.28515625" style="1"/>
    <col min="7425" max="7425" width="5.7109375" style="1" customWidth="1"/>
    <col min="7426" max="7426" width="6.28515625" style="1" customWidth="1"/>
    <col min="7427" max="7451" width="6.140625" style="1" customWidth="1"/>
    <col min="7452" max="7452" width="4.42578125" style="1" customWidth="1"/>
    <col min="7453" max="7454" width="3.140625" style="1" customWidth="1"/>
    <col min="7455" max="7455" width="3.85546875" style="1" customWidth="1"/>
    <col min="7456" max="7456" width="3.140625" style="1" customWidth="1"/>
    <col min="7457" max="7457" width="4.42578125" style="1" customWidth="1"/>
    <col min="7458" max="7458" width="3.140625" style="1" customWidth="1"/>
    <col min="7459" max="7459" width="7.7109375" style="1" customWidth="1"/>
    <col min="7460" max="7461" width="3.140625" style="1" customWidth="1"/>
    <col min="7462" max="7680" width="11.28515625" style="1"/>
    <col min="7681" max="7681" width="5.7109375" style="1" customWidth="1"/>
    <col min="7682" max="7682" width="6.28515625" style="1" customWidth="1"/>
    <col min="7683" max="7707" width="6.140625" style="1" customWidth="1"/>
    <col min="7708" max="7708" width="4.42578125" style="1" customWidth="1"/>
    <col min="7709" max="7710" width="3.140625" style="1" customWidth="1"/>
    <col min="7711" max="7711" width="3.85546875" style="1" customWidth="1"/>
    <col min="7712" max="7712" width="3.140625" style="1" customWidth="1"/>
    <col min="7713" max="7713" width="4.42578125" style="1" customWidth="1"/>
    <col min="7714" max="7714" width="3.140625" style="1" customWidth="1"/>
    <col min="7715" max="7715" width="7.7109375" style="1" customWidth="1"/>
    <col min="7716" max="7717" width="3.140625" style="1" customWidth="1"/>
    <col min="7718" max="7936" width="11.28515625" style="1"/>
    <col min="7937" max="7937" width="5.7109375" style="1" customWidth="1"/>
    <col min="7938" max="7938" width="6.28515625" style="1" customWidth="1"/>
    <col min="7939" max="7963" width="6.140625" style="1" customWidth="1"/>
    <col min="7964" max="7964" width="4.42578125" style="1" customWidth="1"/>
    <col min="7965" max="7966" width="3.140625" style="1" customWidth="1"/>
    <col min="7967" max="7967" width="3.85546875" style="1" customWidth="1"/>
    <col min="7968" max="7968" width="3.140625" style="1" customWidth="1"/>
    <col min="7969" max="7969" width="4.42578125" style="1" customWidth="1"/>
    <col min="7970" max="7970" width="3.140625" style="1" customWidth="1"/>
    <col min="7971" max="7971" width="7.7109375" style="1" customWidth="1"/>
    <col min="7972" max="7973" width="3.140625" style="1" customWidth="1"/>
    <col min="7974" max="8192" width="11.28515625" style="1"/>
    <col min="8193" max="8193" width="5.7109375" style="1" customWidth="1"/>
    <col min="8194" max="8194" width="6.28515625" style="1" customWidth="1"/>
    <col min="8195" max="8219" width="6.140625" style="1" customWidth="1"/>
    <col min="8220" max="8220" width="4.42578125" style="1" customWidth="1"/>
    <col min="8221" max="8222" width="3.140625" style="1" customWidth="1"/>
    <col min="8223" max="8223" width="3.85546875" style="1" customWidth="1"/>
    <col min="8224" max="8224" width="3.140625" style="1" customWidth="1"/>
    <col min="8225" max="8225" width="4.42578125" style="1" customWidth="1"/>
    <col min="8226" max="8226" width="3.140625" style="1" customWidth="1"/>
    <col min="8227" max="8227" width="7.7109375" style="1" customWidth="1"/>
    <col min="8228" max="8229" width="3.140625" style="1" customWidth="1"/>
    <col min="8230" max="8448" width="11.28515625" style="1"/>
    <col min="8449" max="8449" width="5.7109375" style="1" customWidth="1"/>
    <col min="8450" max="8450" width="6.28515625" style="1" customWidth="1"/>
    <col min="8451" max="8475" width="6.140625" style="1" customWidth="1"/>
    <col min="8476" max="8476" width="4.42578125" style="1" customWidth="1"/>
    <col min="8477" max="8478" width="3.140625" style="1" customWidth="1"/>
    <col min="8479" max="8479" width="3.85546875" style="1" customWidth="1"/>
    <col min="8480" max="8480" width="3.140625" style="1" customWidth="1"/>
    <col min="8481" max="8481" width="4.42578125" style="1" customWidth="1"/>
    <col min="8482" max="8482" width="3.140625" style="1" customWidth="1"/>
    <col min="8483" max="8483" width="7.7109375" style="1" customWidth="1"/>
    <col min="8484" max="8485" width="3.140625" style="1" customWidth="1"/>
    <col min="8486" max="8704" width="11.28515625" style="1"/>
    <col min="8705" max="8705" width="5.7109375" style="1" customWidth="1"/>
    <col min="8706" max="8706" width="6.28515625" style="1" customWidth="1"/>
    <col min="8707" max="8731" width="6.140625" style="1" customWidth="1"/>
    <col min="8732" max="8732" width="4.42578125" style="1" customWidth="1"/>
    <col min="8733" max="8734" width="3.140625" style="1" customWidth="1"/>
    <col min="8735" max="8735" width="3.85546875" style="1" customWidth="1"/>
    <col min="8736" max="8736" width="3.140625" style="1" customWidth="1"/>
    <col min="8737" max="8737" width="4.42578125" style="1" customWidth="1"/>
    <col min="8738" max="8738" width="3.140625" style="1" customWidth="1"/>
    <col min="8739" max="8739" width="7.7109375" style="1" customWidth="1"/>
    <col min="8740" max="8741" width="3.140625" style="1" customWidth="1"/>
    <col min="8742" max="8960" width="11.28515625" style="1"/>
    <col min="8961" max="8961" width="5.7109375" style="1" customWidth="1"/>
    <col min="8962" max="8962" width="6.28515625" style="1" customWidth="1"/>
    <col min="8963" max="8987" width="6.140625" style="1" customWidth="1"/>
    <col min="8988" max="8988" width="4.42578125" style="1" customWidth="1"/>
    <col min="8989" max="8990" width="3.140625" style="1" customWidth="1"/>
    <col min="8991" max="8991" width="3.85546875" style="1" customWidth="1"/>
    <col min="8992" max="8992" width="3.140625" style="1" customWidth="1"/>
    <col min="8993" max="8993" width="4.42578125" style="1" customWidth="1"/>
    <col min="8994" max="8994" width="3.140625" style="1" customWidth="1"/>
    <col min="8995" max="8995" width="7.7109375" style="1" customWidth="1"/>
    <col min="8996" max="8997" width="3.140625" style="1" customWidth="1"/>
    <col min="8998" max="9216" width="11.28515625" style="1"/>
    <col min="9217" max="9217" width="5.7109375" style="1" customWidth="1"/>
    <col min="9218" max="9218" width="6.28515625" style="1" customWidth="1"/>
    <col min="9219" max="9243" width="6.140625" style="1" customWidth="1"/>
    <col min="9244" max="9244" width="4.42578125" style="1" customWidth="1"/>
    <col min="9245" max="9246" width="3.140625" style="1" customWidth="1"/>
    <col min="9247" max="9247" width="3.85546875" style="1" customWidth="1"/>
    <col min="9248" max="9248" width="3.140625" style="1" customWidth="1"/>
    <col min="9249" max="9249" width="4.42578125" style="1" customWidth="1"/>
    <col min="9250" max="9250" width="3.140625" style="1" customWidth="1"/>
    <col min="9251" max="9251" width="7.7109375" style="1" customWidth="1"/>
    <col min="9252" max="9253" width="3.140625" style="1" customWidth="1"/>
    <col min="9254" max="9472" width="11.28515625" style="1"/>
    <col min="9473" max="9473" width="5.7109375" style="1" customWidth="1"/>
    <col min="9474" max="9474" width="6.28515625" style="1" customWidth="1"/>
    <col min="9475" max="9499" width="6.140625" style="1" customWidth="1"/>
    <col min="9500" max="9500" width="4.42578125" style="1" customWidth="1"/>
    <col min="9501" max="9502" width="3.140625" style="1" customWidth="1"/>
    <col min="9503" max="9503" width="3.85546875" style="1" customWidth="1"/>
    <col min="9504" max="9504" width="3.140625" style="1" customWidth="1"/>
    <col min="9505" max="9505" width="4.42578125" style="1" customWidth="1"/>
    <col min="9506" max="9506" width="3.140625" style="1" customWidth="1"/>
    <col min="9507" max="9507" width="7.7109375" style="1" customWidth="1"/>
    <col min="9508" max="9509" width="3.140625" style="1" customWidth="1"/>
    <col min="9510" max="9728" width="11.28515625" style="1"/>
    <col min="9729" max="9729" width="5.7109375" style="1" customWidth="1"/>
    <col min="9730" max="9730" width="6.28515625" style="1" customWidth="1"/>
    <col min="9731" max="9755" width="6.140625" style="1" customWidth="1"/>
    <col min="9756" max="9756" width="4.42578125" style="1" customWidth="1"/>
    <col min="9757" max="9758" width="3.140625" style="1" customWidth="1"/>
    <col min="9759" max="9759" width="3.85546875" style="1" customWidth="1"/>
    <col min="9760" max="9760" width="3.140625" style="1" customWidth="1"/>
    <col min="9761" max="9761" width="4.42578125" style="1" customWidth="1"/>
    <col min="9762" max="9762" width="3.140625" style="1" customWidth="1"/>
    <col min="9763" max="9763" width="7.7109375" style="1" customWidth="1"/>
    <col min="9764" max="9765" width="3.140625" style="1" customWidth="1"/>
    <col min="9766" max="9984" width="11.28515625" style="1"/>
    <col min="9985" max="9985" width="5.7109375" style="1" customWidth="1"/>
    <col min="9986" max="9986" width="6.28515625" style="1" customWidth="1"/>
    <col min="9987" max="10011" width="6.140625" style="1" customWidth="1"/>
    <col min="10012" max="10012" width="4.42578125" style="1" customWidth="1"/>
    <col min="10013" max="10014" width="3.140625" style="1" customWidth="1"/>
    <col min="10015" max="10015" width="3.85546875" style="1" customWidth="1"/>
    <col min="10016" max="10016" width="3.140625" style="1" customWidth="1"/>
    <col min="10017" max="10017" width="4.42578125" style="1" customWidth="1"/>
    <col min="10018" max="10018" width="3.140625" style="1" customWidth="1"/>
    <col min="10019" max="10019" width="7.7109375" style="1" customWidth="1"/>
    <col min="10020" max="10021" width="3.140625" style="1" customWidth="1"/>
    <col min="10022" max="10240" width="11.28515625" style="1"/>
    <col min="10241" max="10241" width="5.7109375" style="1" customWidth="1"/>
    <col min="10242" max="10242" width="6.28515625" style="1" customWidth="1"/>
    <col min="10243" max="10267" width="6.140625" style="1" customWidth="1"/>
    <col min="10268" max="10268" width="4.42578125" style="1" customWidth="1"/>
    <col min="10269" max="10270" width="3.140625" style="1" customWidth="1"/>
    <col min="10271" max="10271" width="3.85546875" style="1" customWidth="1"/>
    <col min="10272" max="10272" width="3.140625" style="1" customWidth="1"/>
    <col min="10273" max="10273" width="4.42578125" style="1" customWidth="1"/>
    <col min="10274" max="10274" width="3.140625" style="1" customWidth="1"/>
    <col min="10275" max="10275" width="7.7109375" style="1" customWidth="1"/>
    <col min="10276" max="10277" width="3.140625" style="1" customWidth="1"/>
    <col min="10278" max="10496" width="11.28515625" style="1"/>
    <col min="10497" max="10497" width="5.7109375" style="1" customWidth="1"/>
    <col min="10498" max="10498" width="6.28515625" style="1" customWidth="1"/>
    <col min="10499" max="10523" width="6.140625" style="1" customWidth="1"/>
    <col min="10524" max="10524" width="4.42578125" style="1" customWidth="1"/>
    <col min="10525" max="10526" width="3.140625" style="1" customWidth="1"/>
    <col min="10527" max="10527" width="3.85546875" style="1" customWidth="1"/>
    <col min="10528" max="10528" width="3.140625" style="1" customWidth="1"/>
    <col min="10529" max="10529" width="4.42578125" style="1" customWidth="1"/>
    <col min="10530" max="10530" width="3.140625" style="1" customWidth="1"/>
    <col min="10531" max="10531" width="7.7109375" style="1" customWidth="1"/>
    <col min="10532" max="10533" width="3.140625" style="1" customWidth="1"/>
    <col min="10534" max="10752" width="11.28515625" style="1"/>
    <col min="10753" max="10753" width="5.7109375" style="1" customWidth="1"/>
    <col min="10754" max="10754" width="6.28515625" style="1" customWidth="1"/>
    <col min="10755" max="10779" width="6.140625" style="1" customWidth="1"/>
    <col min="10780" max="10780" width="4.42578125" style="1" customWidth="1"/>
    <col min="10781" max="10782" width="3.140625" style="1" customWidth="1"/>
    <col min="10783" max="10783" width="3.85546875" style="1" customWidth="1"/>
    <col min="10784" max="10784" width="3.140625" style="1" customWidth="1"/>
    <col min="10785" max="10785" width="4.42578125" style="1" customWidth="1"/>
    <col min="10786" max="10786" width="3.140625" style="1" customWidth="1"/>
    <col min="10787" max="10787" width="7.7109375" style="1" customWidth="1"/>
    <col min="10788" max="10789" width="3.140625" style="1" customWidth="1"/>
    <col min="10790" max="11008" width="11.28515625" style="1"/>
    <col min="11009" max="11009" width="5.7109375" style="1" customWidth="1"/>
    <col min="11010" max="11010" width="6.28515625" style="1" customWidth="1"/>
    <col min="11011" max="11035" width="6.140625" style="1" customWidth="1"/>
    <col min="11036" max="11036" width="4.42578125" style="1" customWidth="1"/>
    <col min="11037" max="11038" width="3.140625" style="1" customWidth="1"/>
    <col min="11039" max="11039" width="3.85546875" style="1" customWidth="1"/>
    <col min="11040" max="11040" width="3.140625" style="1" customWidth="1"/>
    <col min="11041" max="11041" width="4.42578125" style="1" customWidth="1"/>
    <col min="11042" max="11042" width="3.140625" style="1" customWidth="1"/>
    <col min="11043" max="11043" width="7.7109375" style="1" customWidth="1"/>
    <col min="11044" max="11045" width="3.140625" style="1" customWidth="1"/>
    <col min="11046" max="11264" width="11.28515625" style="1"/>
    <col min="11265" max="11265" width="5.7109375" style="1" customWidth="1"/>
    <col min="11266" max="11266" width="6.28515625" style="1" customWidth="1"/>
    <col min="11267" max="11291" width="6.140625" style="1" customWidth="1"/>
    <col min="11292" max="11292" width="4.42578125" style="1" customWidth="1"/>
    <col min="11293" max="11294" width="3.140625" style="1" customWidth="1"/>
    <col min="11295" max="11295" width="3.85546875" style="1" customWidth="1"/>
    <col min="11296" max="11296" width="3.140625" style="1" customWidth="1"/>
    <col min="11297" max="11297" width="4.42578125" style="1" customWidth="1"/>
    <col min="11298" max="11298" width="3.140625" style="1" customWidth="1"/>
    <col min="11299" max="11299" width="7.7109375" style="1" customWidth="1"/>
    <col min="11300" max="11301" width="3.140625" style="1" customWidth="1"/>
    <col min="11302" max="11520" width="11.28515625" style="1"/>
    <col min="11521" max="11521" width="5.7109375" style="1" customWidth="1"/>
    <col min="11522" max="11522" width="6.28515625" style="1" customWidth="1"/>
    <col min="11523" max="11547" width="6.140625" style="1" customWidth="1"/>
    <col min="11548" max="11548" width="4.42578125" style="1" customWidth="1"/>
    <col min="11549" max="11550" width="3.140625" style="1" customWidth="1"/>
    <col min="11551" max="11551" width="3.85546875" style="1" customWidth="1"/>
    <col min="11552" max="11552" width="3.140625" style="1" customWidth="1"/>
    <col min="11553" max="11553" width="4.42578125" style="1" customWidth="1"/>
    <col min="11554" max="11554" width="3.140625" style="1" customWidth="1"/>
    <col min="11555" max="11555" width="7.7109375" style="1" customWidth="1"/>
    <col min="11556" max="11557" width="3.140625" style="1" customWidth="1"/>
    <col min="11558" max="11776" width="11.28515625" style="1"/>
    <col min="11777" max="11777" width="5.7109375" style="1" customWidth="1"/>
    <col min="11778" max="11778" width="6.28515625" style="1" customWidth="1"/>
    <col min="11779" max="11803" width="6.140625" style="1" customWidth="1"/>
    <col min="11804" max="11804" width="4.42578125" style="1" customWidth="1"/>
    <col min="11805" max="11806" width="3.140625" style="1" customWidth="1"/>
    <col min="11807" max="11807" width="3.85546875" style="1" customWidth="1"/>
    <col min="11808" max="11808" width="3.140625" style="1" customWidth="1"/>
    <col min="11809" max="11809" width="4.42578125" style="1" customWidth="1"/>
    <col min="11810" max="11810" width="3.140625" style="1" customWidth="1"/>
    <col min="11811" max="11811" width="7.7109375" style="1" customWidth="1"/>
    <col min="11812" max="11813" width="3.140625" style="1" customWidth="1"/>
    <col min="11814" max="12032" width="11.28515625" style="1"/>
    <col min="12033" max="12033" width="5.7109375" style="1" customWidth="1"/>
    <col min="12034" max="12034" width="6.28515625" style="1" customWidth="1"/>
    <col min="12035" max="12059" width="6.140625" style="1" customWidth="1"/>
    <col min="12060" max="12060" width="4.42578125" style="1" customWidth="1"/>
    <col min="12061" max="12062" width="3.140625" style="1" customWidth="1"/>
    <col min="12063" max="12063" width="3.85546875" style="1" customWidth="1"/>
    <col min="12064" max="12064" width="3.140625" style="1" customWidth="1"/>
    <col min="12065" max="12065" width="4.42578125" style="1" customWidth="1"/>
    <col min="12066" max="12066" width="3.140625" style="1" customWidth="1"/>
    <col min="12067" max="12067" width="7.7109375" style="1" customWidth="1"/>
    <col min="12068" max="12069" width="3.140625" style="1" customWidth="1"/>
    <col min="12070" max="12288" width="11.28515625" style="1"/>
    <col min="12289" max="12289" width="5.7109375" style="1" customWidth="1"/>
    <col min="12290" max="12290" width="6.28515625" style="1" customWidth="1"/>
    <col min="12291" max="12315" width="6.140625" style="1" customWidth="1"/>
    <col min="12316" max="12316" width="4.42578125" style="1" customWidth="1"/>
    <col min="12317" max="12318" width="3.140625" style="1" customWidth="1"/>
    <col min="12319" max="12319" width="3.85546875" style="1" customWidth="1"/>
    <col min="12320" max="12320" width="3.140625" style="1" customWidth="1"/>
    <col min="12321" max="12321" width="4.42578125" style="1" customWidth="1"/>
    <col min="12322" max="12322" width="3.140625" style="1" customWidth="1"/>
    <col min="12323" max="12323" width="7.7109375" style="1" customWidth="1"/>
    <col min="12324" max="12325" width="3.140625" style="1" customWidth="1"/>
    <col min="12326" max="12544" width="11.28515625" style="1"/>
    <col min="12545" max="12545" width="5.7109375" style="1" customWidth="1"/>
    <col min="12546" max="12546" width="6.28515625" style="1" customWidth="1"/>
    <col min="12547" max="12571" width="6.140625" style="1" customWidth="1"/>
    <col min="12572" max="12572" width="4.42578125" style="1" customWidth="1"/>
    <col min="12573" max="12574" width="3.140625" style="1" customWidth="1"/>
    <col min="12575" max="12575" width="3.85546875" style="1" customWidth="1"/>
    <col min="12576" max="12576" width="3.140625" style="1" customWidth="1"/>
    <col min="12577" max="12577" width="4.42578125" style="1" customWidth="1"/>
    <col min="12578" max="12578" width="3.140625" style="1" customWidth="1"/>
    <col min="12579" max="12579" width="7.7109375" style="1" customWidth="1"/>
    <col min="12580" max="12581" width="3.140625" style="1" customWidth="1"/>
    <col min="12582" max="12800" width="11.28515625" style="1"/>
    <col min="12801" max="12801" width="5.7109375" style="1" customWidth="1"/>
    <col min="12802" max="12802" width="6.28515625" style="1" customWidth="1"/>
    <col min="12803" max="12827" width="6.140625" style="1" customWidth="1"/>
    <col min="12828" max="12828" width="4.42578125" style="1" customWidth="1"/>
    <col min="12829" max="12830" width="3.140625" style="1" customWidth="1"/>
    <col min="12831" max="12831" width="3.85546875" style="1" customWidth="1"/>
    <col min="12832" max="12832" width="3.140625" style="1" customWidth="1"/>
    <col min="12833" max="12833" width="4.42578125" style="1" customWidth="1"/>
    <col min="12834" max="12834" width="3.140625" style="1" customWidth="1"/>
    <col min="12835" max="12835" width="7.7109375" style="1" customWidth="1"/>
    <col min="12836" max="12837" width="3.140625" style="1" customWidth="1"/>
    <col min="12838" max="13056" width="11.28515625" style="1"/>
    <col min="13057" max="13057" width="5.7109375" style="1" customWidth="1"/>
    <col min="13058" max="13058" width="6.28515625" style="1" customWidth="1"/>
    <col min="13059" max="13083" width="6.140625" style="1" customWidth="1"/>
    <col min="13084" max="13084" width="4.42578125" style="1" customWidth="1"/>
    <col min="13085" max="13086" width="3.140625" style="1" customWidth="1"/>
    <col min="13087" max="13087" width="3.85546875" style="1" customWidth="1"/>
    <col min="13088" max="13088" width="3.140625" style="1" customWidth="1"/>
    <col min="13089" max="13089" width="4.42578125" style="1" customWidth="1"/>
    <col min="13090" max="13090" width="3.140625" style="1" customWidth="1"/>
    <col min="13091" max="13091" width="7.7109375" style="1" customWidth="1"/>
    <col min="13092" max="13093" width="3.140625" style="1" customWidth="1"/>
    <col min="13094" max="13312" width="11.28515625" style="1"/>
    <col min="13313" max="13313" width="5.7109375" style="1" customWidth="1"/>
    <col min="13314" max="13314" width="6.28515625" style="1" customWidth="1"/>
    <col min="13315" max="13339" width="6.140625" style="1" customWidth="1"/>
    <col min="13340" max="13340" width="4.42578125" style="1" customWidth="1"/>
    <col min="13341" max="13342" width="3.140625" style="1" customWidth="1"/>
    <col min="13343" max="13343" width="3.85546875" style="1" customWidth="1"/>
    <col min="13344" max="13344" width="3.140625" style="1" customWidth="1"/>
    <col min="13345" max="13345" width="4.42578125" style="1" customWidth="1"/>
    <col min="13346" max="13346" width="3.140625" style="1" customWidth="1"/>
    <col min="13347" max="13347" width="7.7109375" style="1" customWidth="1"/>
    <col min="13348" max="13349" width="3.140625" style="1" customWidth="1"/>
    <col min="13350" max="13568" width="11.28515625" style="1"/>
    <col min="13569" max="13569" width="5.7109375" style="1" customWidth="1"/>
    <col min="13570" max="13570" width="6.28515625" style="1" customWidth="1"/>
    <col min="13571" max="13595" width="6.140625" style="1" customWidth="1"/>
    <col min="13596" max="13596" width="4.42578125" style="1" customWidth="1"/>
    <col min="13597" max="13598" width="3.140625" style="1" customWidth="1"/>
    <col min="13599" max="13599" width="3.85546875" style="1" customWidth="1"/>
    <col min="13600" max="13600" width="3.140625" style="1" customWidth="1"/>
    <col min="13601" max="13601" width="4.42578125" style="1" customWidth="1"/>
    <col min="13602" max="13602" width="3.140625" style="1" customWidth="1"/>
    <col min="13603" max="13603" width="7.7109375" style="1" customWidth="1"/>
    <col min="13604" max="13605" width="3.140625" style="1" customWidth="1"/>
    <col min="13606" max="13824" width="11.28515625" style="1"/>
    <col min="13825" max="13825" width="5.7109375" style="1" customWidth="1"/>
    <col min="13826" max="13826" width="6.28515625" style="1" customWidth="1"/>
    <col min="13827" max="13851" width="6.140625" style="1" customWidth="1"/>
    <col min="13852" max="13852" width="4.42578125" style="1" customWidth="1"/>
    <col min="13853" max="13854" width="3.140625" style="1" customWidth="1"/>
    <col min="13855" max="13855" width="3.85546875" style="1" customWidth="1"/>
    <col min="13856" max="13856" width="3.140625" style="1" customWidth="1"/>
    <col min="13857" max="13857" width="4.42578125" style="1" customWidth="1"/>
    <col min="13858" max="13858" width="3.140625" style="1" customWidth="1"/>
    <col min="13859" max="13859" width="7.7109375" style="1" customWidth="1"/>
    <col min="13860" max="13861" width="3.140625" style="1" customWidth="1"/>
    <col min="13862" max="14080" width="11.28515625" style="1"/>
    <col min="14081" max="14081" width="5.7109375" style="1" customWidth="1"/>
    <col min="14082" max="14082" width="6.28515625" style="1" customWidth="1"/>
    <col min="14083" max="14107" width="6.140625" style="1" customWidth="1"/>
    <col min="14108" max="14108" width="4.42578125" style="1" customWidth="1"/>
    <col min="14109" max="14110" width="3.140625" style="1" customWidth="1"/>
    <col min="14111" max="14111" width="3.85546875" style="1" customWidth="1"/>
    <col min="14112" max="14112" width="3.140625" style="1" customWidth="1"/>
    <col min="14113" max="14113" width="4.42578125" style="1" customWidth="1"/>
    <col min="14114" max="14114" width="3.140625" style="1" customWidth="1"/>
    <col min="14115" max="14115" width="7.7109375" style="1" customWidth="1"/>
    <col min="14116" max="14117" width="3.140625" style="1" customWidth="1"/>
    <col min="14118" max="14336" width="11.28515625" style="1"/>
    <col min="14337" max="14337" width="5.7109375" style="1" customWidth="1"/>
    <col min="14338" max="14338" width="6.28515625" style="1" customWidth="1"/>
    <col min="14339" max="14363" width="6.140625" style="1" customWidth="1"/>
    <col min="14364" max="14364" width="4.42578125" style="1" customWidth="1"/>
    <col min="14365" max="14366" width="3.140625" style="1" customWidth="1"/>
    <col min="14367" max="14367" width="3.85546875" style="1" customWidth="1"/>
    <col min="14368" max="14368" width="3.140625" style="1" customWidth="1"/>
    <col min="14369" max="14369" width="4.42578125" style="1" customWidth="1"/>
    <col min="14370" max="14370" width="3.140625" style="1" customWidth="1"/>
    <col min="14371" max="14371" width="7.7109375" style="1" customWidth="1"/>
    <col min="14372" max="14373" width="3.140625" style="1" customWidth="1"/>
    <col min="14374" max="14592" width="11.28515625" style="1"/>
    <col min="14593" max="14593" width="5.7109375" style="1" customWidth="1"/>
    <col min="14594" max="14594" width="6.28515625" style="1" customWidth="1"/>
    <col min="14595" max="14619" width="6.140625" style="1" customWidth="1"/>
    <col min="14620" max="14620" width="4.42578125" style="1" customWidth="1"/>
    <col min="14621" max="14622" width="3.140625" style="1" customWidth="1"/>
    <col min="14623" max="14623" width="3.85546875" style="1" customWidth="1"/>
    <col min="14624" max="14624" width="3.140625" style="1" customWidth="1"/>
    <col min="14625" max="14625" width="4.42578125" style="1" customWidth="1"/>
    <col min="14626" max="14626" width="3.140625" style="1" customWidth="1"/>
    <col min="14627" max="14627" width="7.7109375" style="1" customWidth="1"/>
    <col min="14628" max="14629" width="3.140625" style="1" customWidth="1"/>
    <col min="14630" max="14848" width="11.28515625" style="1"/>
    <col min="14849" max="14849" width="5.7109375" style="1" customWidth="1"/>
    <col min="14850" max="14850" width="6.28515625" style="1" customWidth="1"/>
    <col min="14851" max="14875" width="6.140625" style="1" customWidth="1"/>
    <col min="14876" max="14876" width="4.42578125" style="1" customWidth="1"/>
    <col min="14877" max="14878" width="3.140625" style="1" customWidth="1"/>
    <col min="14879" max="14879" width="3.85546875" style="1" customWidth="1"/>
    <col min="14880" max="14880" width="3.140625" style="1" customWidth="1"/>
    <col min="14881" max="14881" width="4.42578125" style="1" customWidth="1"/>
    <col min="14882" max="14882" width="3.140625" style="1" customWidth="1"/>
    <col min="14883" max="14883" width="7.7109375" style="1" customWidth="1"/>
    <col min="14884" max="14885" width="3.140625" style="1" customWidth="1"/>
    <col min="14886" max="15104" width="11.28515625" style="1"/>
    <col min="15105" max="15105" width="5.7109375" style="1" customWidth="1"/>
    <col min="15106" max="15106" width="6.28515625" style="1" customWidth="1"/>
    <col min="15107" max="15131" width="6.140625" style="1" customWidth="1"/>
    <col min="15132" max="15132" width="4.42578125" style="1" customWidth="1"/>
    <col min="15133" max="15134" width="3.140625" style="1" customWidth="1"/>
    <col min="15135" max="15135" width="3.85546875" style="1" customWidth="1"/>
    <col min="15136" max="15136" width="3.140625" style="1" customWidth="1"/>
    <col min="15137" max="15137" width="4.42578125" style="1" customWidth="1"/>
    <col min="15138" max="15138" width="3.140625" style="1" customWidth="1"/>
    <col min="15139" max="15139" width="7.7109375" style="1" customWidth="1"/>
    <col min="15140" max="15141" width="3.140625" style="1" customWidth="1"/>
    <col min="15142" max="15360" width="11.28515625" style="1"/>
    <col min="15361" max="15361" width="5.7109375" style="1" customWidth="1"/>
    <col min="15362" max="15362" width="6.28515625" style="1" customWidth="1"/>
    <col min="15363" max="15387" width="6.140625" style="1" customWidth="1"/>
    <col min="15388" max="15388" width="4.42578125" style="1" customWidth="1"/>
    <col min="15389" max="15390" width="3.140625" style="1" customWidth="1"/>
    <col min="15391" max="15391" width="3.85546875" style="1" customWidth="1"/>
    <col min="15392" max="15392" width="3.140625" style="1" customWidth="1"/>
    <col min="15393" max="15393" width="4.42578125" style="1" customWidth="1"/>
    <col min="15394" max="15394" width="3.140625" style="1" customWidth="1"/>
    <col min="15395" max="15395" width="7.7109375" style="1" customWidth="1"/>
    <col min="15396" max="15397" width="3.140625" style="1" customWidth="1"/>
    <col min="15398" max="15616" width="11.28515625" style="1"/>
    <col min="15617" max="15617" width="5.7109375" style="1" customWidth="1"/>
    <col min="15618" max="15618" width="6.28515625" style="1" customWidth="1"/>
    <col min="15619" max="15643" width="6.140625" style="1" customWidth="1"/>
    <col min="15644" max="15644" width="4.42578125" style="1" customWidth="1"/>
    <col min="15645" max="15646" width="3.140625" style="1" customWidth="1"/>
    <col min="15647" max="15647" width="3.85546875" style="1" customWidth="1"/>
    <col min="15648" max="15648" width="3.140625" style="1" customWidth="1"/>
    <col min="15649" max="15649" width="4.42578125" style="1" customWidth="1"/>
    <col min="15650" max="15650" width="3.140625" style="1" customWidth="1"/>
    <col min="15651" max="15651" width="7.7109375" style="1" customWidth="1"/>
    <col min="15652" max="15653" width="3.140625" style="1" customWidth="1"/>
    <col min="15654" max="15872" width="11.28515625" style="1"/>
    <col min="15873" max="15873" width="5.7109375" style="1" customWidth="1"/>
    <col min="15874" max="15874" width="6.28515625" style="1" customWidth="1"/>
    <col min="15875" max="15899" width="6.140625" style="1" customWidth="1"/>
    <col min="15900" max="15900" width="4.42578125" style="1" customWidth="1"/>
    <col min="15901" max="15902" width="3.140625" style="1" customWidth="1"/>
    <col min="15903" max="15903" width="3.85546875" style="1" customWidth="1"/>
    <col min="15904" max="15904" width="3.140625" style="1" customWidth="1"/>
    <col min="15905" max="15905" width="4.42578125" style="1" customWidth="1"/>
    <col min="15906" max="15906" width="3.140625" style="1" customWidth="1"/>
    <col min="15907" max="15907" width="7.7109375" style="1" customWidth="1"/>
    <col min="15908" max="15909" width="3.140625" style="1" customWidth="1"/>
    <col min="15910" max="16128" width="11.28515625" style="1"/>
    <col min="16129" max="16129" width="5.7109375" style="1" customWidth="1"/>
    <col min="16130" max="16130" width="6.28515625" style="1" customWidth="1"/>
    <col min="16131" max="16155" width="6.140625" style="1" customWidth="1"/>
    <col min="16156" max="16156" width="4.42578125" style="1" customWidth="1"/>
    <col min="16157" max="16158" width="3.140625" style="1" customWidth="1"/>
    <col min="16159" max="16159" width="3.85546875" style="1" customWidth="1"/>
    <col min="16160" max="16160" width="3.140625" style="1" customWidth="1"/>
    <col min="16161" max="16161" width="4.42578125" style="1" customWidth="1"/>
    <col min="16162" max="16162" width="3.140625" style="1" customWidth="1"/>
    <col min="16163" max="16163" width="7.7109375" style="1" customWidth="1"/>
    <col min="16164" max="16165" width="3.140625" style="1" customWidth="1"/>
    <col min="16166" max="16384" width="11.28515625" style="1"/>
  </cols>
  <sheetData>
    <row r="1" spans="1:37" ht="15.75" thickBot="1"/>
    <row r="2" spans="1:37" ht="14.25" customHeight="1">
      <c r="A2" s="29"/>
      <c r="B2" s="30"/>
      <c r="C2" s="30"/>
      <c r="D2" s="33" t="s">
        <v>79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5"/>
      <c r="AG2" s="35"/>
      <c r="AH2" s="35"/>
      <c r="AI2" s="35"/>
      <c r="AJ2" s="35"/>
      <c r="AK2" s="36"/>
    </row>
    <row r="3" spans="1:37" ht="11.25" customHeight="1">
      <c r="A3" s="31"/>
      <c r="B3" s="32"/>
      <c r="C3" s="32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7"/>
      <c r="AG3" s="37"/>
      <c r="AH3" s="37"/>
      <c r="AI3" s="37"/>
      <c r="AJ3" s="37"/>
      <c r="AK3" s="38"/>
    </row>
    <row r="4" spans="1:37" ht="16.5" customHeight="1">
      <c r="A4" s="39" t="s">
        <v>2</v>
      </c>
      <c r="B4" s="40"/>
      <c r="C4" s="40"/>
      <c r="D4" s="41"/>
      <c r="E4" s="41"/>
      <c r="F4" s="41"/>
      <c r="G4" s="41"/>
      <c r="H4" s="41"/>
      <c r="I4" s="42" t="s">
        <v>3</v>
      </c>
      <c r="J4" s="42"/>
      <c r="K4" s="42"/>
      <c r="L4" s="41"/>
      <c r="M4" s="41"/>
      <c r="N4" s="41"/>
      <c r="O4" s="41"/>
      <c r="P4" s="41"/>
      <c r="Q4" s="41"/>
      <c r="R4" s="42" t="s">
        <v>4</v>
      </c>
      <c r="S4" s="42"/>
      <c r="T4" s="42"/>
      <c r="U4" s="42"/>
      <c r="V4" s="41"/>
      <c r="W4" s="41"/>
      <c r="X4" s="41"/>
      <c r="Y4" s="41"/>
      <c r="Z4" s="41"/>
      <c r="AA4" s="41"/>
      <c r="AB4" s="42" t="s">
        <v>5</v>
      </c>
      <c r="AC4" s="42"/>
      <c r="AD4" s="42"/>
      <c r="AE4" s="42"/>
      <c r="AF4" s="44"/>
      <c r="AG4" s="44"/>
      <c r="AH4" s="44"/>
      <c r="AI4" s="44"/>
      <c r="AJ4" s="44"/>
      <c r="AK4" s="45"/>
    </row>
    <row r="5" spans="1:37" ht="25.5" customHeight="1">
      <c r="A5" s="39" t="s">
        <v>6</v>
      </c>
      <c r="B5" s="40"/>
      <c r="C5" s="40"/>
      <c r="D5" s="41"/>
      <c r="E5" s="41"/>
      <c r="F5" s="41"/>
      <c r="G5" s="41"/>
      <c r="H5" s="41"/>
      <c r="I5" s="46" t="s">
        <v>7</v>
      </c>
      <c r="J5" s="47"/>
      <c r="K5" s="48"/>
      <c r="L5" s="41"/>
      <c r="M5" s="41"/>
      <c r="N5" s="41"/>
      <c r="O5" s="41"/>
      <c r="P5" s="41"/>
      <c r="Q5" s="41"/>
      <c r="R5" s="42" t="s">
        <v>8</v>
      </c>
      <c r="S5" s="42"/>
      <c r="T5" s="42"/>
      <c r="U5" s="42"/>
      <c r="V5" s="41"/>
      <c r="W5" s="41"/>
      <c r="X5" s="41"/>
      <c r="Y5" s="41"/>
      <c r="Z5" s="41"/>
      <c r="AA5" s="41"/>
      <c r="AB5" s="42" t="s">
        <v>9</v>
      </c>
      <c r="AC5" s="42"/>
      <c r="AD5" s="42"/>
      <c r="AE5" s="42"/>
      <c r="AF5" s="44"/>
      <c r="AG5" s="44"/>
      <c r="AH5" s="44"/>
      <c r="AI5" s="44"/>
      <c r="AJ5" s="44"/>
      <c r="AK5" s="45"/>
    </row>
    <row r="6" spans="1:37" ht="14.25" customHeight="1" thickBot="1">
      <c r="A6" s="61" t="s">
        <v>10</v>
      </c>
      <c r="B6" s="62"/>
      <c r="C6" s="62"/>
      <c r="D6" s="49"/>
      <c r="E6" s="49"/>
      <c r="F6" s="49"/>
      <c r="G6" s="49"/>
      <c r="H6" s="49"/>
      <c r="I6" s="50" t="s">
        <v>11</v>
      </c>
      <c r="J6" s="50"/>
      <c r="K6" s="50"/>
      <c r="L6" s="62" t="s">
        <v>12</v>
      </c>
      <c r="M6" s="62"/>
      <c r="N6" s="2">
        <v>57</v>
      </c>
      <c r="O6" s="62" t="s">
        <v>13</v>
      </c>
      <c r="P6" s="62"/>
      <c r="Q6" s="2">
        <v>57.045999999999999</v>
      </c>
      <c r="R6" s="50" t="s">
        <v>14</v>
      </c>
      <c r="S6" s="50"/>
      <c r="T6" s="50"/>
      <c r="U6" s="50"/>
      <c r="V6" s="49"/>
      <c r="W6" s="49"/>
      <c r="X6" s="49"/>
      <c r="Y6" s="49"/>
      <c r="Z6" s="49"/>
      <c r="AA6" s="49"/>
      <c r="AB6" s="50"/>
      <c r="AC6" s="50"/>
      <c r="AD6" s="50"/>
      <c r="AE6" s="50"/>
      <c r="AF6" s="51"/>
      <c r="AG6" s="51"/>
      <c r="AH6" s="51"/>
      <c r="AI6" s="51"/>
      <c r="AJ6" s="51"/>
      <c r="AK6" s="52"/>
    </row>
    <row r="7" spans="1:37">
      <c r="A7" s="53" t="s">
        <v>15</v>
      </c>
      <c r="B7" s="3"/>
      <c r="AB7" s="55" t="s">
        <v>16</v>
      </c>
      <c r="AC7" s="56"/>
      <c r="AD7" s="56"/>
      <c r="AE7" s="56"/>
      <c r="AF7" s="56"/>
      <c r="AG7" s="56"/>
      <c r="AH7" s="56"/>
      <c r="AI7" s="56"/>
      <c r="AJ7" s="56"/>
      <c r="AK7" s="57"/>
    </row>
    <row r="8" spans="1:37">
      <c r="A8" s="53"/>
      <c r="B8" s="3"/>
      <c r="AB8" s="58" t="s">
        <v>17</v>
      </c>
      <c r="AC8" s="58"/>
      <c r="AD8" s="59" t="s">
        <v>18</v>
      </c>
      <c r="AE8" s="59"/>
      <c r="AF8" s="60" t="s">
        <v>19</v>
      </c>
      <c r="AG8" s="60"/>
      <c r="AH8" s="26" t="s">
        <v>20</v>
      </c>
      <c r="AI8" s="26" t="s">
        <v>76</v>
      </c>
      <c r="AJ8" s="60" t="s">
        <v>21</v>
      </c>
      <c r="AK8" s="60"/>
    </row>
    <row r="9" spans="1:37">
      <c r="A9" s="53"/>
      <c r="B9" s="3"/>
      <c r="AB9" s="58"/>
      <c r="AC9" s="58"/>
      <c r="AD9" s="65">
        <v>3</v>
      </c>
      <c r="AE9" s="65"/>
      <c r="AF9" s="66">
        <v>1.0229999999999999</v>
      </c>
      <c r="AG9" s="66"/>
      <c r="AH9" s="27">
        <v>0</v>
      </c>
      <c r="AI9" s="27">
        <v>1.69</v>
      </c>
      <c r="AJ9" s="66">
        <v>2.5750000000000002</v>
      </c>
      <c r="AK9" s="66"/>
    </row>
    <row r="10" spans="1:37">
      <c r="A10" s="53"/>
      <c r="B10" s="3"/>
      <c r="AB10" s="58"/>
      <c r="AC10" s="58"/>
      <c r="AD10" s="65">
        <v>4</v>
      </c>
      <c r="AE10" s="65"/>
      <c r="AF10" s="66">
        <v>0.72899999999999998</v>
      </c>
      <c r="AG10" s="66"/>
      <c r="AH10" s="27">
        <v>0</v>
      </c>
      <c r="AI10" s="27">
        <v>2.06</v>
      </c>
      <c r="AJ10" s="66">
        <v>2.282</v>
      </c>
      <c r="AK10" s="66"/>
    </row>
    <row r="11" spans="1:37">
      <c r="A11" s="53"/>
      <c r="B11" s="3"/>
      <c r="AB11" s="58"/>
      <c r="AC11" s="58"/>
      <c r="AD11" s="65">
        <v>5</v>
      </c>
      <c r="AE11" s="65"/>
      <c r="AF11" s="66">
        <v>0.57699999999999996</v>
      </c>
      <c r="AG11" s="66"/>
      <c r="AH11" s="27">
        <v>0</v>
      </c>
      <c r="AI11" s="27">
        <v>2.33</v>
      </c>
      <c r="AJ11" s="66">
        <v>2.1150000000000002</v>
      </c>
      <c r="AK11" s="66"/>
    </row>
    <row r="12" spans="1:37">
      <c r="A12" s="53"/>
      <c r="B12" s="3"/>
      <c r="AB12" s="58" t="s">
        <v>17</v>
      </c>
      <c r="AC12" s="63" t="s">
        <v>22</v>
      </c>
      <c r="AD12" s="63"/>
      <c r="AE12" s="63"/>
      <c r="AF12" s="63" t="s">
        <v>23</v>
      </c>
      <c r="AG12" s="63"/>
      <c r="AH12" s="63"/>
      <c r="AI12" s="63" t="s">
        <v>24</v>
      </c>
      <c r="AJ12" s="63"/>
      <c r="AK12" s="63"/>
    </row>
    <row r="13" spans="1:37">
      <c r="A13" s="53"/>
      <c r="B13" s="3"/>
      <c r="AB13" s="58"/>
      <c r="AC13" s="64"/>
      <c r="AD13" s="60" t="s">
        <v>25</v>
      </c>
      <c r="AE13" s="60"/>
      <c r="AF13" s="60"/>
      <c r="AG13" s="60"/>
      <c r="AH13" s="60"/>
      <c r="AI13" s="67">
        <f>AVERAGE(C38:AA38)</f>
        <v>57.021200000000007</v>
      </c>
      <c r="AJ13" s="67"/>
      <c r="AK13" s="67"/>
    </row>
    <row r="14" spans="1:37">
      <c r="A14" s="53"/>
      <c r="B14" s="3"/>
      <c r="AB14" s="58"/>
      <c r="AC14" s="64"/>
      <c r="AD14" s="60" t="s">
        <v>26</v>
      </c>
      <c r="AE14" s="60"/>
      <c r="AF14" s="60"/>
      <c r="AG14" s="60"/>
      <c r="AH14" s="60"/>
      <c r="AI14" s="67">
        <f>AI13+(AF11*AI16)</f>
        <v>57.023092560000009</v>
      </c>
      <c r="AJ14" s="67"/>
      <c r="AK14" s="67"/>
    </row>
    <row r="15" spans="1:37">
      <c r="A15" s="53"/>
      <c r="B15" s="3"/>
      <c r="AB15" s="58"/>
      <c r="AC15" s="64"/>
      <c r="AD15" s="60" t="s">
        <v>27</v>
      </c>
      <c r="AE15" s="60"/>
      <c r="AF15" s="60"/>
      <c r="AG15" s="60"/>
      <c r="AH15" s="60"/>
      <c r="AI15" s="67">
        <f>AI13-(AF11*AI16)</f>
        <v>57.019307440000006</v>
      </c>
      <c r="AJ15" s="67"/>
      <c r="AK15" s="67"/>
    </row>
    <row r="16" spans="1:37">
      <c r="A16" s="53"/>
      <c r="B16" s="3"/>
      <c r="AB16" s="58"/>
      <c r="AC16" s="64" t="s">
        <v>28</v>
      </c>
      <c r="AD16" s="60" t="s">
        <v>25</v>
      </c>
      <c r="AE16" s="60"/>
      <c r="AF16" s="60"/>
      <c r="AG16" s="60"/>
      <c r="AH16" s="60"/>
      <c r="AI16" s="67">
        <f>AVERAGE(C39:AA39)</f>
        <v>3.2800000000017347E-3</v>
      </c>
      <c r="AJ16" s="67"/>
      <c r="AK16" s="67"/>
    </row>
    <row r="17" spans="1:42">
      <c r="A17" s="53"/>
      <c r="B17" s="3"/>
      <c r="AB17" s="58"/>
      <c r="AC17" s="64"/>
      <c r="AD17" s="60" t="s">
        <v>26</v>
      </c>
      <c r="AE17" s="60"/>
      <c r="AF17" s="60"/>
      <c r="AG17" s="60"/>
      <c r="AH17" s="60"/>
      <c r="AI17" s="67">
        <f>AJ11*AI16</f>
        <v>6.9372000000036691E-3</v>
      </c>
      <c r="AJ17" s="67"/>
      <c r="AK17" s="67"/>
    </row>
    <row r="18" spans="1:42">
      <c r="A18" s="54"/>
      <c r="B18" s="3"/>
      <c r="AB18" s="58"/>
      <c r="AC18" s="64"/>
      <c r="AD18" s="60" t="s">
        <v>27</v>
      </c>
      <c r="AE18" s="60"/>
      <c r="AF18" s="60"/>
      <c r="AG18" s="60"/>
      <c r="AH18" s="60"/>
      <c r="AI18" s="67">
        <f>AH11*AI16</f>
        <v>0</v>
      </c>
      <c r="AJ18" s="67"/>
      <c r="AK18" s="67"/>
    </row>
    <row r="19" spans="1:42" ht="18.75">
      <c r="A19" s="105" t="s">
        <v>29</v>
      </c>
      <c r="B19" s="4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107" t="s">
        <v>66</v>
      </c>
      <c r="AC19" s="108"/>
      <c r="AD19" s="108"/>
      <c r="AE19" s="108"/>
      <c r="AF19" s="108"/>
      <c r="AG19" s="108"/>
      <c r="AH19" s="108"/>
      <c r="AI19" s="108"/>
      <c r="AJ19" s="108"/>
      <c r="AK19" s="109"/>
    </row>
    <row r="20" spans="1:42" ht="21" customHeight="1">
      <c r="A20" s="53"/>
      <c r="B20" s="3"/>
      <c r="AB20" s="71" t="s">
        <v>30</v>
      </c>
      <c r="AC20" s="72"/>
      <c r="AD20" s="76" t="s">
        <v>15</v>
      </c>
      <c r="AE20" s="77"/>
      <c r="AF20" s="77"/>
      <c r="AG20" s="72"/>
      <c r="AH20" s="78">
        <f>AVERAGE(C33:AA37)</f>
        <v>57.021200000000093</v>
      </c>
      <c r="AI20" s="79"/>
      <c r="AJ20" s="79"/>
      <c r="AK20" s="80"/>
    </row>
    <row r="21" spans="1:42" ht="18.75">
      <c r="A21" s="53"/>
      <c r="B21" s="3"/>
      <c r="AB21" s="110" t="s">
        <v>67</v>
      </c>
      <c r="AC21" s="111"/>
      <c r="AD21" s="123" t="s">
        <v>77</v>
      </c>
      <c r="AE21" s="124"/>
      <c r="AF21" s="124"/>
      <c r="AG21" s="125"/>
      <c r="AH21" s="78">
        <f>AI16/AI11</f>
        <v>1.4077253218891565E-3</v>
      </c>
      <c r="AI21" s="79"/>
      <c r="AJ21" s="79"/>
      <c r="AK21" s="80"/>
    </row>
    <row r="22" spans="1:42">
      <c r="A22" s="53"/>
      <c r="B22" s="3"/>
      <c r="AB22" s="71" t="s">
        <v>33</v>
      </c>
      <c r="AC22" s="72"/>
      <c r="AD22" s="73" t="s">
        <v>34</v>
      </c>
      <c r="AE22" s="74"/>
      <c r="AF22" s="74"/>
      <c r="AG22" s="75"/>
      <c r="AH22" s="68">
        <f>Q6</f>
        <v>57.045999999999999</v>
      </c>
      <c r="AI22" s="69"/>
      <c r="AJ22" s="69"/>
      <c r="AK22" s="70"/>
    </row>
    <row r="23" spans="1:42">
      <c r="A23" s="53"/>
      <c r="B23" s="3"/>
      <c r="AB23" s="71" t="s">
        <v>35</v>
      </c>
      <c r="AC23" s="72"/>
      <c r="AD23" s="73" t="s">
        <v>36</v>
      </c>
      <c r="AE23" s="74"/>
      <c r="AF23" s="74"/>
      <c r="AG23" s="75"/>
      <c r="AH23" s="68">
        <f>N6</f>
        <v>57</v>
      </c>
      <c r="AI23" s="69"/>
      <c r="AJ23" s="69"/>
      <c r="AK23" s="70"/>
    </row>
    <row r="24" spans="1:42" ht="14.45" customHeight="1">
      <c r="A24" s="53"/>
      <c r="B24" s="3"/>
      <c r="AB24" s="71" t="s">
        <v>68</v>
      </c>
      <c r="AC24" s="72"/>
      <c r="AD24" s="76" t="s">
        <v>69</v>
      </c>
      <c r="AE24" s="77"/>
      <c r="AF24" s="77"/>
      <c r="AG24" s="72"/>
      <c r="AH24" s="78">
        <f>(AH22-AH23)/(6*AH21)</f>
        <v>5.446138211379159</v>
      </c>
      <c r="AI24" s="79"/>
      <c r="AJ24" s="79"/>
      <c r="AK24" s="80"/>
    </row>
    <row r="25" spans="1:42" ht="14.45" customHeight="1">
      <c r="A25" s="53"/>
      <c r="B25" s="3"/>
      <c r="AB25" s="71" t="s">
        <v>70</v>
      </c>
      <c r="AC25" s="72"/>
      <c r="AD25" s="76" t="s">
        <v>71</v>
      </c>
      <c r="AE25" s="77"/>
      <c r="AF25" s="77"/>
      <c r="AG25" s="72"/>
      <c r="AH25" s="78">
        <f>(AH22-AH20)/(3*AH21)</f>
        <v>5.8723577235520317</v>
      </c>
      <c r="AI25" s="79"/>
      <c r="AJ25" s="79"/>
      <c r="AK25" s="80"/>
    </row>
    <row r="26" spans="1:42" ht="15.75">
      <c r="A26" s="53"/>
      <c r="B26" s="3"/>
      <c r="AB26" s="71" t="s">
        <v>72</v>
      </c>
      <c r="AC26" s="72"/>
      <c r="AD26" s="76" t="s">
        <v>73</v>
      </c>
      <c r="AE26" s="77"/>
      <c r="AF26" s="77"/>
      <c r="AG26" s="72"/>
      <c r="AH26" s="78">
        <f>(AH20-AH23)/(3*AH21)</f>
        <v>5.0199186992062872</v>
      </c>
      <c r="AI26" s="79"/>
      <c r="AJ26" s="79"/>
      <c r="AK26" s="80"/>
    </row>
    <row r="27" spans="1:42" ht="22.5">
      <c r="A27" s="53"/>
      <c r="B27" s="3"/>
      <c r="AB27" s="81" t="s">
        <v>74</v>
      </c>
      <c r="AC27" s="82"/>
      <c r="AD27" s="83" t="s">
        <v>75</v>
      </c>
      <c r="AE27" s="84"/>
      <c r="AF27" s="84"/>
      <c r="AG27" s="85"/>
      <c r="AH27" s="86">
        <f>MIN(AH25,AH26)</f>
        <v>5.0199186992062872</v>
      </c>
      <c r="AI27" s="87"/>
      <c r="AJ27" s="87"/>
      <c r="AK27" s="88"/>
      <c r="AM27" s="6"/>
      <c r="AN27" s="6"/>
      <c r="AO27" s="6"/>
      <c r="AP27" s="6"/>
    </row>
    <row r="28" spans="1:42">
      <c r="A28" s="53"/>
      <c r="B28" s="3"/>
      <c r="AB28" s="89" t="s">
        <v>45</v>
      </c>
      <c r="AC28" s="90"/>
      <c r="AD28" s="90"/>
      <c r="AE28" s="90"/>
      <c r="AF28" s="90"/>
      <c r="AG28" s="90"/>
      <c r="AH28" s="90"/>
      <c r="AI28" s="90"/>
      <c r="AJ28" s="90"/>
      <c r="AK28" s="91"/>
      <c r="AN28" s="6"/>
      <c r="AO28" s="6"/>
      <c r="AP28" s="6"/>
    </row>
    <row r="29" spans="1:42">
      <c r="A29" s="53"/>
      <c r="B29" s="3"/>
      <c r="AB29" s="92" t="str">
        <f>IF(AH27&gt;1.67,"ACCEPTED",IF(AND(AH27&gt;=1.33,AH27&lt;=1.67),"MAY BE ACCEPTED",IF(AH27&lt;1.33,"NOT ACCEPTED","")))</f>
        <v>ACCEPTED</v>
      </c>
      <c r="AC29" s="93"/>
      <c r="AD29" s="93"/>
      <c r="AE29" s="93"/>
      <c r="AF29" s="93"/>
      <c r="AG29" s="93"/>
      <c r="AH29" s="93"/>
      <c r="AI29" s="93"/>
      <c r="AJ29" s="93"/>
      <c r="AK29" s="94"/>
      <c r="AM29" s="6"/>
      <c r="AN29" s="6"/>
      <c r="AO29" s="6"/>
      <c r="AP29" s="6"/>
    </row>
    <row r="30" spans="1:42" ht="15.75" thickBot="1">
      <c r="A30" s="106"/>
      <c r="B30" s="7"/>
      <c r="AB30" s="92"/>
      <c r="AC30" s="93"/>
      <c r="AD30" s="93"/>
      <c r="AE30" s="93"/>
      <c r="AF30" s="93"/>
      <c r="AG30" s="93"/>
      <c r="AH30" s="93"/>
      <c r="AI30" s="93"/>
      <c r="AJ30" s="93"/>
      <c r="AK30" s="94"/>
      <c r="AM30" s="6"/>
      <c r="AN30" s="6"/>
      <c r="AO30" s="6"/>
      <c r="AP30" s="6"/>
    </row>
    <row r="31" spans="1:42" ht="17.25" customHeight="1">
      <c r="A31" s="95" t="s">
        <v>46</v>
      </c>
      <c r="B31" s="96"/>
      <c r="C31" s="8">
        <v>1</v>
      </c>
      <c r="D31" s="8">
        <v>2</v>
      </c>
      <c r="E31" s="8">
        <v>3</v>
      </c>
      <c r="F31" s="8">
        <v>4</v>
      </c>
      <c r="G31" s="8">
        <v>5</v>
      </c>
      <c r="H31" s="8">
        <v>6</v>
      </c>
      <c r="I31" s="8">
        <v>7</v>
      </c>
      <c r="J31" s="8">
        <v>8</v>
      </c>
      <c r="K31" s="8">
        <v>9</v>
      </c>
      <c r="L31" s="8">
        <v>10</v>
      </c>
      <c r="M31" s="8">
        <v>11</v>
      </c>
      <c r="N31" s="8">
        <v>12</v>
      </c>
      <c r="O31" s="8">
        <v>13</v>
      </c>
      <c r="P31" s="8">
        <v>14</v>
      </c>
      <c r="Q31" s="8">
        <v>15</v>
      </c>
      <c r="R31" s="8">
        <v>16</v>
      </c>
      <c r="S31" s="8">
        <v>17</v>
      </c>
      <c r="T31" s="8">
        <v>18</v>
      </c>
      <c r="U31" s="8">
        <v>19</v>
      </c>
      <c r="V31" s="8">
        <v>20</v>
      </c>
      <c r="W31" s="8">
        <v>21</v>
      </c>
      <c r="X31" s="8">
        <v>22</v>
      </c>
      <c r="Y31" s="8">
        <v>23</v>
      </c>
      <c r="Z31" s="8">
        <v>24</v>
      </c>
      <c r="AA31" s="9">
        <v>25</v>
      </c>
      <c r="AB31" s="92"/>
      <c r="AC31" s="93"/>
      <c r="AD31" s="93"/>
      <c r="AE31" s="93"/>
      <c r="AF31" s="93"/>
      <c r="AG31" s="93"/>
      <c r="AH31" s="93"/>
      <c r="AI31" s="93"/>
      <c r="AJ31" s="93"/>
      <c r="AK31" s="94"/>
    </row>
    <row r="32" spans="1:42" ht="17.25" customHeight="1">
      <c r="A32" s="97" t="s">
        <v>5</v>
      </c>
      <c r="B32" s="98"/>
      <c r="C32" s="126">
        <v>57.023000000000003</v>
      </c>
      <c r="D32" s="126">
        <v>57.023000000000003</v>
      </c>
      <c r="E32" s="126">
        <v>57.018000000000001</v>
      </c>
      <c r="F32" s="126">
        <v>57.023000000000003</v>
      </c>
      <c r="G32" s="126">
        <v>57.023000000000003</v>
      </c>
      <c r="H32" s="126">
        <v>57.018000000000001</v>
      </c>
      <c r="I32" s="126">
        <v>57.023000000000003</v>
      </c>
      <c r="J32" s="126">
        <v>57.023000000000003</v>
      </c>
      <c r="K32" s="126">
        <v>57.018000000000001</v>
      </c>
      <c r="L32" s="126">
        <v>57.023000000000003</v>
      </c>
      <c r="M32" s="126">
        <v>57.023000000000003</v>
      </c>
      <c r="N32" s="126">
        <v>57.018000000000001</v>
      </c>
      <c r="O32" s="126">
        <v>57.023000000000003</v>
      </c>
      <c r="P32" s="126">
        <v>57.023000000000003</v>
      </c>
      <c r="Q32" s="126">
        <v>57.018000000000001</v>
      </c>
      <c r="R32" s="126">
        <v>57.023000000000003</v>
      </c>
      <c r="S32" s="126">
        <v>57.023000000000003</v>
      </c>
      <c r="T32" s="126">
        <v>57.018000000000001</v>
      </c>
      <c r="U32" s="126">
        <v>57.023000000000003</v>
      </c>
      <c r="V32" s="126">
        <v>57.023000000000003</v>
      </c>
      <c r="W32" s="126">
        <v>57.018000000000001</v>
      </c>
      <c r="X32" s="126">
        <v>57.023000000000003</v>
      </c>
      <c r="Y32" s="126">
        <v>57.023000000000003</v>
      </c>
      <c r="Z32" s="126">
        <v>57.018000000000001</v>
      </c>
      <c r="AA32" s="126">
        <v>57.018000000000001</v>
      </c>
      <c r="AB32" s="92"/>
      <c r="AC32" s="93"/>
      <c r="AD32" s="93"/>
      <c r="AE32" s="93"/>
      <c r="AF32" s="93"/>
      <c r="AG32" s="93"/>
      <c r="AH32" s="93"/>
      <c r="AI32" s="93"/>
      <c r="AJ32" s="93"/>
      <c r="AK32" s="94"/>
    </row>
    <row r="33" spans="1:37" ht="17.25" customHeight="1">
      <c r="A33" s="99" t="s">
        <v>47</v>
      </c>
      <c r="B33" s="12" t="s">
        <v>48</v>
      </c>
      <c r="C33" s="126">
        <v>57.023000000000003</v>
      </c>
      <c r="D33" s="126">
        <v>57.02</v>
      </c>
      <c r="E33" s="126">
        <v>57.018999999999998</v>
      </c>
      <c r="F33" s="126">
        <v>57.023000000000003</v>
      </c>
      <c r="G33" s="126">
        <v>57.02</v>
      </c>
      <c r="H33" s="126">
        <v>57.018999999999998</v>
      </c>
      <c r="I33" s="126">
        <v>57.023000000000003</v>
      </c>
      <c r="J33" s="126">
        <v>57.02</v>
      </c>
      <c r="K33" s="126">
        <v>57.018999999999998</v>
      </c>
      <c r="L33" s="126">
        <v>57.023000000000003</v>
      </c>
      <c r="M33" s="126">
        <v>57.02</v>
      </c>
      <c r="N33" s="126">
        <v>57.018999999999998</v>
      </c>
      <c r="O33" s="126">
        <v>57.023000000000003</v>
      </c>
      <c r="P33" s="126">
        <v>57.02</v>
      </c>
      <c r="Q33" s="126">
        <v>57.018999999999998</v>
      </c>
      <c r="R33" s="126">
        <v>57.023000000000003</v>
      </c>
      <c r="S33" s="126">
        <v>57.02</v>
      </c>
      <c r="T33" s="126">
        <v>57.018999999999998</v>
      </c>
      <c r="U33" s="126">
        <v>57.023000000000003</v>
      </c>
      <c r="V33" s="126">
        <v>57.02</v>
      </c>
      <c r="W33" s="126">
        <v>57.018999999999998</v>
      </c>
      <c r="X33" s="126">
        <v>57.023000000000003</v>
      </c>
      <c r="Y33" s="126">
        <v>57.02</v>
      </c>
      <c r="Z33" s="126">
        <v>57.018999999999998</v>
      </c>
      <c r="AA33" s="126">
        <v>57.018999999999998</v>
      </c>
      <c r="AB33" s="92"/>
      <c r="AC33" s="93"/>
      <c r="AD33" s="93"/>
      <c r="AE33" s="93"/>
      <c r="AF33" s="93"/>
      <c r="AG33" s="93"/>
      <c r="AH33" s="93"/>
      <c r="AI33" s="93"/>
      <c r="AJ33" s="93"/>
      <c r="AK33" s="94"/>
    </row>
    <row r="34" spans="1:37" ht="17.25" customHeight="1">
      <c r="A34" s="99"/>
      <c r="B34" s="12" t="s">
        <v>49</v>
      </c>
      <c r="C34" s="126">
        <v>57.021999999999998</v>
      </c>
      <c r="D34" s="126">
        <v>57.021999999999998</v>
      </c>
      <c r="E34" s="126">
        <v>57.02</v>
      </c>
      <c r="F34" s="126">
        <v>57.021999999999998</v>
      </c>
      <c r="G34" s="126">
        <v>57.021999999999998</v>
      </c>
      <c r="H34" s="126">
        <v>57.02</v>
      </c>
      <c r="I34" s="126">
        <v>57.021999999999998</v>
      </c>
      <c r="J34" s="126">
        <v>57.021999999999998</v>
      </c>
      <c r="K34" s="126">
        <v>57.02</v>
      </c>
      <c r="L34" s="126">
        <v>57.021999999999998</v>
      </c>
      <c r="M34" s="126">
        <v>57.021999999999998</v>
      </c>
      <c r="N34" s="126">
        <v>57.02</v>
      </c>
      <c r="O34" s="126">
        <v>57.021999999999998</v>
      </c>
      <c r="P34" s="126">
        <v>57.021999999999998</v>
      </c>
      <c r="Q34" s="126">
        <v>57.02</v>
      </c>
      <c r="R34" s="126">
        <v>57.021999999999998</v>
      </c>
      <c r="S34" s="126">
        <v>57.021999999999998</v>
      </c>
      <c r="T34" s="126">
        <v>57.02</v>
      </c>
      <c r="U34" s="126">
        <v>57.021999999999998</v>
      </c>
      <c r="V34" s="126">
        <v>57.021999999999998</v>
      </c>
      <c r="W34" s="126">
        <v>57.02</v>
      </c>
      <c r="X34" s="126">
        <v>57.021999999999998</v>
      </c>
      <c r="Y34" s="126">
        <v>57.021999999999998</v>
      </c>
      <c r="Z34" s="126">
        <v>57.02</v>
      </c>
      <c r="AA34" s="126">
        <v>57.02</v>
      </c>
      <c r="AB34" s="100" t="s">
        <v>50</v>
      </c>
      <c r="AC34" s="101"/>
      <c r="AD34" s="101"/>
      <c r="AE34" s="101"/>
      <c r="AF34" s="101"/>
      <c r="AG34" s="101"/>
      <c r="AH34" s="101"/>
      <c r="AI34" s="101"/>
      <c r="AJ34" s="101"/>
      <c r="AK34" s="102"/>
    </row>
    <row r="35" spans="1:37" ht="17.25" customHeight="1">
      <c r="A35" s="99"/>
      <c r="B35" s="12" t="s">
        <v>51</v>
      </c>
      <c r="C35" s="126">
        <v>57.021000000000001</v>
      </c>
      <c r="D35" s="126">
        <v>57.018999999999998</v>
      </c>
      <c r="E35" s="126">
        <v>57.021000000000001</v>
      </c>
      <c r="F35" s="126">
        <v>57.021000000000001</v>
      </c>
      <c r="G35" s="126">
        <v>57.018999999999998</v>
      </c>
      <c r="H35" s="126">
        <v>57.021000000000001</v>
      </c>
      <c r="I35" s="126">
        <v>57.021000000000001</v>
      </c>
      <c r="J35" s="126">
        <v>57.018999999999998</v>
      </c>
      <c r="K35" s="126">
        <v>57.021000000000001</v>
      </c>
      <c r="L35" s="126">
        <v>57.021000000000001</v>
      </c>
      <c r="M35" s="126">
        <v>57.018999999999998</v>
      </c>
      <c r="N35" s="126">
        <v>57.021000000000001</v>
      </c>
      <c r="O35" s="126">
        <v>57.021000000000001</v>
      </c>
      <c r="P35" s="126">
        <v>57.018999999999998</v>
      </c>
      <c r="Q35" s="126">
        <v>57.021000000000001</v>
      </c>
      <c r="R35" s="126">
        <v>57.021000000000001</v>
      </c>
      <c r="S35" s="126">
        <v>57.018999999999998</v>
      </c>
      <c r="T35" s="126">
        <v>57.021000000000001</v>
      </c>
      <c r="U35" s="126">
        <v>57.021000000000001</v>
      </c>
      <c r="V35" s="126">
        <v>57.018999999999998</v>
      </c>
      <c r="W35" s="126">
        <v>57.021000000000001</v>
      </c>
      <c r="X35" s="126">
        <v>57.021000000000001</v>
      </c>
      <c r="Y35" s="126">
        <v>57.018999999999998</v>
      </c>
      <c r="Z35" s="126">
        <v>57.021000000000001</v>
      </c>
      <c r="AA35" s="126">
        <v>57.021000000000001</v>
      </c>
      <c r="AB35" s="103" t="s">
        <v>24</v>
      </c>
      <c r="AC35" s="104"/>
      <c r="AD35" s="104"/>
      <c r="AE35" s="104"/>
      <c r="AF35" s="104" t="s">
        <v>52</v>
      </c>
      <c r="AG35" s="104"/>
      <c r="AH35" s="104"/>
      <c r="AI35" s="104"/>
      <c r="AJ35" s="104"/>
      <c r="AK35" s="119"/>
    </row>
    <row r="36" spans="1:37" ht="17.25" customHeight="1">
      <c r="A36" s="99"/>
      <c r="B36" s="12" t="s">
        <v>53</v>
      </c>
      <c r="C36" s="126">
        <v>57.024000000000001</v>
      </c>
      <c r="D36" s="126">
        <v>57.024000000000001</v>
      </c>
      <c r="E36" s="126">
        <v>57.02</v>
      </c>
      <c r="F36" s="126">
        <v>57.024000000000001</v>
      </c>
      <c r="G36" s="126">
        <v>57.024000000000001</v>
      </c>
      <c r="H36" s="126">
        <v>57.02</v>
      </c>
      <c r="I36" s="126">
        <v>57.024000000000001</v>
      </c>
      <c r="J36" s="126">
        <v>57.024000000000001</v>
      </c>
      <c r="K36" s="126">
        <v>57.02</v>
      </c>
      <c r="L36" s="126">
        <v>57.024000000000001</v>
      </c>
      <c r="M36" s="126">
        <v>57.024000000000001</v>
      </c>
      <c r="N36" s="126">
        <v>57.02</v>
      </c>
      <c r="O36" s="126">
        <v>57.024000000000001</v>
      </c>
      <c r="P36" s="126">
        <v>57.024000000000001</v>
      </c>
      <c r="Q36" s="126">
        <v>57.02</v>
      </c>
      <c r="R36" s="126">
        <v>57.024000000000001</v>
      </c>
      <c r="S36" s="126">
        <v>57.024000000000001</v>
      </c>
      <c r="T36" s="126">
        <v>57.02</v>
      </c>
      <c r="U36" s="126">
        <v>57.024000000000001</v>
      </c>
      <c r="V36" s="126">
        <v>57.024000000000001</v>
      </c>
      <c r="W36" s="126">
        <v>57.02</v>
      </c>
      <c r="X36" s="126">
        <v>57.024000000000001</v>
      </c>
      <c r="Y36" s="126">
        <v>57.024000000000001</v>
      </c>
      <c r="Z36" s="126">
        <v>57.02</v>
      </c>
      <c r="AA36" s="126">
        <v>57.02</v>
      </c>
      <c r="AB36" s="120" t="s">
        <v>54</v>
      </c>
      <c r="AC36" s="65"/>
      <c r="AD36" s="65"/>
      <c r="AE36" s="65"/>
      <c r="AF36" s="121" t="s">
        <v>55</v>
      </c>
      <c r="AG36" s="121"/>
      <c r="AH36" s="121"/>
      <c r="AI36" s="121"/>
      <c r="AJ36" s="121"/>
      <c r="AK36" s="122"/>
    </row>
    <row r="37" spans="1:37" ht="17.25" customHeight="1">
      <c r="A37" s="99"/>
      <c r="B37" s="12" t="s">
        <v>56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13"/>
      <c r="X37" s="13"/>
      <c r="Y37" s="13"/>
      <c r="Z37" s="13"/>
      <c r="AA37" s="14"/>
      <c r="AB37" s="120" t="s">
        <v>57</v>
      </c>
      <c r="AC37" s="65"/>
      <c r="AD37" s="65"/>
      <c r="AE37" s="65"/>
      <c r="AF37" s="121" t="s">
        <v>58</v>
      </c>
      <c r="AG37" s="121"/>
      <c r="AH37" s="121"/>
      <c r="AI37" s="121"/>
      <c r="AJ37" s="121"/>
      <c r="AK37" s="122"/>
    </row>
    <row r="38" spans="1:37" ht="17.25" customHeight="1">
      <c r="A38" s="97" t="s">
        <v>59</v>
      </c>
      <c r="B38" s="98"/>
      <c r="C38" s="15">
        <f t="shared" ref="C38:AA38" si="0">IF(ISNUMBER(C$33),AVERAGE(C$33:C$37),"")</f>
        <v>57.022500000000001</v>
      </c>
      <c r="D38" s="15">
        <f t="shared" si="0"/>
        <v>57.021250000000002</v>
      </c>
      <c r="E38" s="15">
        <f t="shared" si="0"/>
        <v>57.02</v>
      </c>
      <c r="F38" s="15">
        <f t="shared" si="0"/>
        <v>57.022500000000001</v>
      </c>
      <c r="G38" s="15">
        <f t="shared" si="0"/>
        <v>57.021250000000002</v>
      </c>
      <c r="H38" s="15">
        <f t="shared" si="0"/>
        <v>57.02</v>
      </c>
      <c r="I38" s="15">
        <f t="shared" si="0"/>
        <v>57.022500000000001</v>
      </c>
      <c r="J38" s="15">
        <f t="shared" si="0"/>
        <v>57.021250000000002</v>
      </c>
      <c r="K38" s="15">
        <f t="shared" si="0"/>
        <v>57.02</v>
      </c>
      <c r="L38" s="15">
        <f t="shared" si="0"/>
        <v>57.022500000000001</v>
      </c>
      <c r="M38" s="15">
        <f t="shared" si="0"/>
        <v>57.021250000000002</v>
      </c>
      <c r="N38" s="15">
        <f t="shared" si="0"/>
        <v>57.02</v>
      </c>
      <c r="O38" s="15">
        <f t="shared" si="0"/>
        <v>57.022500000000001</v>
      </c>
      <c r="P38" s="15">
        <f t="shared" si="0"/>
        <v>57.021250000000002</v>
      </c>
      <c r="Q38" s="15">
        <f>IF(ISNUMBER(Q$33),AVERAGE(Q$33:Q$37),"")</f>
        <v>57.02</v>
      </c>
      <c r="R38" s="15">
        <f t="shared" si="0"/>
        <v>57.022500000000001</v>
      </c>
      <c r="S38" s="15">
        <f t="shared" si="0"/>
        <v>57.021250000000002</v>
      </c>
      <c r="T38" s="15">
        <f t="shared" si="0"/>
        <v>57.02</v>
      </c>
      <c r="U38" s="15">
        <f t="shared" si="0"/>
        <v>57.022500000000001</v>
      </c>
      <c r="V38" s="15">
        <f t="shared" si="0"/>
        <v>57.021250000000002</v>
      </c>
      <c r="W38" s="15">
        <f t="shared" si="0"/>
        <v>57.02</v>
      </c>
      <c r="X38" s="15">
        <f t="shared" si="0"/>
        <v>57.022500000000001</v>
      </c>
      <c r="Y38" s="15">
        <f t="shared" si="0"/>
        <v>57.021250000000002</v>
      </c>
      <c r="Z38" s="15">
        <f t="shared" si="0"/>
        <v>57.02</v>
      </c>
      <c r="AA38" s="16">
        <f t="shared" si="0"/>
        <v>57.02</v>
      </c>
      <c r="AB38" s="120" t="s">
        <v>60</v>
      </c>
      <c r="AC38" s="65"/>
      <c r="AD38" s="65"/>
      <c r="AE38" s="65"/>
      <c r="AF38" s="121" t="s">
        <v>61</v>
      </c>
      <c r="AG38" s="121"/>
      <c r="AH38" s="121"/>
      <c r="AI38" s="121"/>
      <c r="AJ38" s="121"/>
      <c r="AK38" s="122"/>
    </row>
    <row r="39" spans="1:37" ht="27.75" customHeight="1" thickBot="1">
      <c r="A39" s="115" t="s">
        <v>62</v>
      </c>
      <c r="B39" s="116"/>
      <c r="C39" s="17">
        <f t="shared" ref="C39:AA39" si="1">IF(ISNUMBER(C$33),MAX(C$33:C$37)-MIN(C$33:C$37),"")</f>
        <v>3.0000000000001137E-3</v>
      </c>
      <c r="D39" s="17">
        <f t="shared" si="1"/>
        <v>5.000000000002558E-3</v>
      </c>
      <c r="E39" s="17">
        <f t="shared" si="1"/>
        <v>2.0000000000024443E-3</v>
      </c>
      <c r="F39" s="17">
        <f t="shared" si="1"/>
        <v>3.0000000000001137E-3</v>
      </c>
      <c r="G39" s="17">
        <f t="shared" si="1"/>
        <v>5.000000000002558E-3</v>
      </c>
      <c r="H39" s="17">
        <f t="shared" si="1"/>
        <v>2.0000000000024443E-3</v>
      </c>
      <c r="I39" s="17">
        <f t="shared" si="1"/>
        <v>3.0000000000001137E-3</v>
      </c>
      <c r="J39" s="17">
        <f t="shared" si="1"/>
        <v>5.000000000002558E-3</v>
      </c>
      <c r="K39" s="17">
        <f t="shared" si="1"/>
        <v>2.0000000000024443E-3</v>
      </c>
      <c r="L39" s="17">
        <f t="shared" si="1"/>
        <v>3.0000000000001137E-3</v>
      </c>
      <c r="M39" s="17">
        <f t="shared" si="1"/>
        <v>5.000000000002558E-3</v>
      </c>
      <c r="N39" s="17">
        <f t="shared" si="1"/>
        <v>2.0000000000024443E-3</v>
      </c>
      <c r="O39" s="17">
        <f t="shared" si="1"/>
        <v>3.0000000000001137E-3</v>
      </c>
      <c r="P39" s="17">
        <f t="shared" si="1"/>
        <v>5.000000000002558E-3</v>
      </c>
      <c r="Q39" s="17">
        <f t="shared" si="1"/>
        <v>2.0000000000024443E-3</v>
      </c>
      <c r="R39" s="17">
        <f t="shared" si="1"/>
        <v>3.0000000000001137E-3</v>
      </c>
      <c r="S39" s="17">
        <f t="shared" si="1"/>
        <v>5.000000000002558E-3</v>
      </c>
      <c r="T39" s="17">
        <f t="shared" si="1"/>
        <v>2.0000000000024443E-3</v>
      </c>
      <c r="U39" s="17">
        <f t="shared" si="1"/>
        <v>3.0000000000001137E-3</v>
      </c>
      <c r="V39" s="17">
        <f t="shared" si="1"/>
        <v>5.000000000002558E-3</v>
      </c>
      <c r="W39" s="17">
        <f t="shared" si="1"/>
        <v>2.0000000000024443E-3</v>
      </c>
      <c r="X39" s="17">
        <f t="shared" si="1"/>
        <v>3.0000000000001137E-3</v>
      </c>
      <c r="Y39" s="17">
        <f t="shared" si="1"/>
        <v>5.000000000002558E-3</v>
      </c>
      <c r="Z39" s="17">
        <f t="shared" si="1"/>
        <v>2.0000000000024443E-3</v>
      </c>
      <c r="AA39" s="18">
        <f t="shared" si="1"/>
        <v>2.0000000000024443E-3</v>
      </c>
      <c r="AB39" s="19"/>
      <c r="AC39" s="20"/>
      <c r="AD39" s="20"/>
      <c r="AE39" s="20"/>
      <c r="AF39" s="20"/>
      <c r="AG39" s="20"/>
      <c r="AH39" s="20"/>
      <c r="AI39" s="20"/>
      <c r="AJ39" s="20"/>
      <c r="AK39" s="21"/>
    </row>
    <row r="41" spans="1:37" s="22" customFormat="1">
      <c r="A41" s="22" t="s">
        <v>63</v>
      </c>
    </row>
    <row r="42" spans="1:37" s="22" customFormat="1">
      <c r="A42" s="117" t="s">
        <v>64</v>
      </c>
      <c r="B42" s="23" t="s">
        <v>26</v>
      </c>
      <c r="C42" s="24">
        <f t="shared" ref="C42:AA42" si="2">$AI$14</f>
        <v>57.023092560000009</v>
      </c>
      <c r="D42" s="24">
        <f t="shared" si="2"/>
        <v>57.023092560000009</v>
      </c>
      <c r="E42" s="24">
        <f t="shared" si="2"/>
        <v>57.023092560000009</v>
      </c>
      <c r="F42" s="24">
        <f t="shared" si="2"/>
        <v>57.023092560000009</v>
      </c>
      <c r="G42" s="24">
        <f t="shared" si="2"/>
        <v>57.023092560000009</v>
      </c>
      <c r="H42" s="24">
        <f t="shared" si="2"/>
        <v>57.023092560000009</v>
      </c>
      <c r="I42" s="24">
        <f t="shared" si="2"/>
        <v>57.023092560000009</v>
      </c>
      <c r="J42" s="24">
        <f t="shared" si="2"/>
        <v>57.023092560000009</v>
      </c>
      <c r="K42" s="24">
        <f t="shared" si="2"/>
        <v>57.023092560000009</v>
      </c>
      <c r="L42" s="24">
        <f t="shared" si="2"/>
        <v>57.023092560000009</v>
      </c>
      <c r="M42" s="24">
        <f t="shared" si="2"/>
        <v>57.023092560000009</v>
      </c>
      <c r="N42" s="24">
        <f t="shared" si="2"/>
        <v>57.023092560000009</v>
      </c>
      <c r="O42" s="24">
        <f t="shared" si="2"/>
        <v>57.023092560000009</v>
      </c>
      <c r="P42" s="24">
        <f t="shared" si="2"/>
        <v>57.023092560000009</v>
      </c>
      <c r="Q42" s="24">
        <f t="shared" si="2"/>
        <v>57.023092560000009</v>
      </c>
      <c r="R42" s="24">
        <f t="shared" si="2"/>
        <v>57.023092560000009</v>
      </c>
      <c r="S42" s="24">
        <f t="shared" si="2"/>
        <v>57.023092560000009</v>
      </c>
      <c r="T42" s="24">
        <f t="shared" si="2"/>
        <v>57.023092560000009</v>
      </c>
      <c r="U42" s="24">
        <f t="shared" si="2"/>
        <v>57.023092560000009</v>
      </c>
      <c r="V42" s="24">
        <f t="shared" si="2"/>
        <v>57.023092560000009</v>
      </c>
      <c r="W42" s="24">
        <f t="shared" si="2"/>
        <v>57.023092560000009</v>
      </c>
      <c r="X42" s="24">
        <f t="shared" si="2"/>
        <v>57.023092560000009</v>
      </c>
      <c r="Y42" s="24">
        <f t="shared" si="2"/>
        <v>57.023092560000009</v>
      </c>
      <c r="Z42" s="24">
        <f t="shared" si="2"/>
        <v>57.023092560000009</v>
      </c>
      <c r="AA42" s="24">
        <f t="shared" si="2"/>
        <v>57.023092560000009</v>
      </c>
    </row>
    <row r="43" spans="1:37" s="22" customFormat="1">
      <c r="A43" s="117"/>
      <c r="B43" s="23" t="s">
        <v>25</v>
      </c>
      <c r="C43" s="24">
        <f t="shared" ref="C43:AA43" si="3">$AI$13</f>
        <v>57.021200000000007</v>
      </c>
      <c r="D43" s="24">
        <f t="shared" si="3"/>
        <v>57.021200000000007</v>
      </c>
      <c r="E43" s="24">
        <f t="shared" si="3"/>
        <v>57.021200000000007</v>
      </c>
      <c r="F43" s="24">
        <f t="shared" si="3"/>
        <v>57.021200000000007</v>
      </c>
      <c r="G43" s="24">
        <f t="shared" si="3"/>
        <v>57.021200000000007</v>
      </c>
      <c r="H43" s="24">
        <f t="shared" si="3"/>
        <v>57.021200000000007</v>
      </c>
      <c r="I43" s="24">
        <f t="shared" si="3"/>
        <v>57.021200000000007</v>
      </c>
      <c r="J43" s="24">
        <f t="shared" si="3"/>
        <v>57.021200000000007</v>
      </c>
      <c r="K43" s="24">
        <f t="shared" si="3"/>
        <v>57.021200000000007</v>
      </c>
      <c r="L43" s="24">
        <f t="shared" si="3"/>
        <v>57.021200000000007</v>
      </c>
      <c r="M43" s="24">
        <f t="shared" si="3"/>
        <v>57.021200000000007</v>
      </c>
      <c r="N43" s="24">
        <f t="shared" si="3"/>
        <v>57.021200000000007</v>
      </c>
      <c r="O43" s="24">
        <f t="shared" si="3"/>
        <v>57.021200000000007</v>
      </c>
      <c r="P43" s="24">
        <f t="shared" si="3"/>
        <v>57.021200000000007</v>
      </c>
      <c r="Q43" s="24">
        <f t="shared" si="3"/>
        <v>57.021200000000007</v>
      </c>
      <c r="R43" s="24">
        <f t="shared" si="3"/>
        <v>57.021200000000007</v>
      </c>
      <c r="S43" s="24">
        <f t="shared" si="3"/>
        <v>57.021200000000007</v>
      </c>
      <c r="T43" s="24">
        <f t="shared" si="3"/>
        <v>57.021200000000007</v>
      </c>
      <c r="U43" s="24">
        <f t="shared" si="3"/>
        <v>57.021200000000007</v>
      </c>
      <c r="V43" s="24">
        <f t="shared" si="3"/>
        <v>57.021200000000007</v>
      </c>
      <c r="W43" s="24">
        <f t="shared" si="3"/>
        <v>57.021200000000007</v>
      </c>
      <c r="X43" s="24">
        <f t="shared" si="3"/>
        <v>57.021200000000007</v>
      </c>
      <c r="Y43" s="24">
        <f t="shared" si="3"/>
        <v>57.021200000000007</v>
      </c>
      <c r="Z43" s="24">
        <f t="shared" si="3"/>
        <v>57.021200000000007</v>
      </c>
      <c r="AA43" s="24">
        <f t="shared" si="3"/>
        <v>57.021200000000007</v>
      </c>
      <c r="AI43" s="25">
        <f>0.84</f>
        <v>0.84</v>
      </c>
    </row>
    <row r="44" spans="1:37" s="22" customFormat="1">
      <c r="A44" s="117"/>
      <c r="B44" s="23" t="s">
        <v>27</v>
      </c>
      <c r="C44" s="24">
        <f t="shared" ref="C44:AA44" si="4">$AI$15</f>
        <v>57.019307440000006</v>
      </c>
      <c r="D44" s="24">
        <f t="shared" si="4"/>
        <v>57.019307440000006</v>
      </c>
      <c r="E44" s="24">
        <f t="shared" si="4"/>
        <v>57.019307440000006</v>
      </c>
      <c r="F44" s="24">
        <f t="shared" si="4"/>
        <v>57.019307440000006</v>
      </c>
      <c r="G44" s="24">
        <f t="shared" si="4"/>
        <v>57.019307440000006</v>
      </c>
      <c r="H44" s="24">
        <f t="shared" si="4"/>
        <v>57.019307440000006</v>
      </c>
      <c r="I44" s="24">
        <f t="shared" si="4"/>
        <v>57.019307440000006</v>
      </c>
      <c r="J44" s="24">
        <f t="shared" si="4"/>
        <v>57.019307440000006</v>
      </c>
      <c r="K44" s="24">
        <f t="shared" si="4"/>
        <v>57.019307440000006</v>
      </c>
      <c r="L44" s="24">
        <f t="shared" si="4"/>
        <v>57.019307440000006</v>
      </c>
      <c r="M44" s="24">
        <f t="shared" si="4"/>
        <v>57.019307440000006</v>
      </c>
      <c r="N44" s="24">
        <f t="shared" si="4"/>
        <v>57.019307440000006</v>
      </c>
      <c r="O44" s="24">
        <f t="shared" si="4"/>
        <v>57.019307440000006</v>
      </c>
      <c r="P44" s="24">
        <f t="shared" si="4"/>
        <v>57.019307440000006</v>
      </c>
      <c r="Q44" s="24">
        <f t="shared" si="4"/>
        <v>57.019307440000006</v>
      </c>
      <c r="R44" s="24">
        <f t="shared" si="4"/>
        <v>57.019307440000006</v>
      </c>
      <c r="S44" s="24">
        <f t="shared" si="4"/>
        <v>57.019307440000006</v>
      </c>
      <c r="T44" s="24">
        <f t="shared" si="4"/>
        <v>57.019307440000006</v>
      </c>
      <c r="U44" s="24">
        <f t="shared" si="4"/>
        <v>57.019307440000006</v>
      </c>
      <c r="V44" s="24">
        <f t="shared" si="4"/>
        <v>57.019307440000006</v>
      </c>
      <c r="W44" s="24">
        <f t="shared" si="4"/>
        <v>57.019307440000006</v>
      </c>
      <c r="X44" s="24">
        <f t="shared" si="4"/>
        <v>57.019307440000006</v>
      </c>
      <c r="Y44" s="24">
        <f t="shared" si="4"/>
        <v>57.019307440000006</v>
      </c>
      <c r="Z44" s="24">
        <f t="shared" si="4"/>
        <v>57.019307440000006</v>
      </c>
      <c r="AA44" s="24">
        <f t="shared" si="4"/>
        <v>57.019307440000006</v>
      </c>
    </row>
    <row r="45" spans="1:37" s="22" customFormat="1">
      <c r="A45" s="117" t="s">
        <v>28</v>
      </c>
      <c r="B45" s="23" t="s">
        <v>26</v>
      </c>
      <c r="C45" s="24">
        <f t="shared" ref="C45:AA45" si="5">$AI$17</f>
        <v>6.9372000000036691E-3</v>
      </c>
      <c r="D45" s="24">
        <f t="shared" si="5"/>
        <v>6.9372000000036691E-3</v>
      </c>
      <c r="E45" s="24">
        <f t="shared" si="5"/>
        <v>6.9372000000036691E-3</v>
      </c>
      <c r="F45" s="24">
        <f t="shared" si="5"/>
        <v>6.9372000000036691E-3</v>
      </c>
      <c r="G45" s="24">
        <f t="shared" si="5"/>
        <v>6.9372000000036691E-3</v>
      </c>
      <c r="H45" s="24">
        <f t="shared" si="5"/>
        <v>6.9372000000036691E-3</v>
      </c>
      <c r="I45" s="24">
        <f t="shared" si="5"/>
        <v>6.9372000000036691E-3</v>
      </c>
      <c r="J45" s="24">
        <f t="shared" si="5"/>
        <v>6.9372000000036691E-3</v>
      </c>
      <c r="K45" s="24">
        <f t="shared" si="5"/>
        <v>6.9372000000036691E-3</v>
      </c>
      <c r="L45" s="24">
        <f t="shared" si="5"/>
        <v>6.9372000000036691E-3</v>
      </c>
      <c r="M45" s="24">
        <f t="shared" si="5"/>
        <v>6.9372000000036691E-3</v>
      </c>
      <c r="N45" s="24">
        <f t="shared" si="5"/>
        <v>6.9372000000036691E-3</v>
      </c>
      <c r="O45" s="24">
        <f t="shared" si="5"/>
        <v>6.9372000000036691E-3</v>
      </c>
      <c r="P45" s="24">
        <f t="shared" si="5"/>
        <v>6.9372000000036691E-3</v>
      </c>
      <c r="Q45" s="24">
        <f t="shared" si="5"/>
        <v>6.9372000000036691E-3</v>
      </c>
      <c r="R45" s="24">
        <f t="shared" si="5"/>
        <v>6.9372000000036691E-3</v>
      </c>
      <c r="S45" s="24">
        <f t="shared" si="5"/>
        <v>6.9372000000036691E-3</v>
      </c>
      <c r="T45" s="24">
        <f t="shared" si="5"/>
        <v>6.9372000000036691E-3</v>
      </c>
      <c r="U45" s="24">
        <f t="shared" si="5"/>
        <v>6.9372000000036691E-3</v>
      </c>
      <c r="V45" s="24">
        <f t="shared" si="5"/>
        <v>6.9372000000036691E-3</v>
      </c>
      <c r="W45" s="24">
        <f t="shared" si="5"/>
        <v>6.9372000000036691E-3</v>
      </c>
      <c r="X45" s="24">
        <f t="shared" si="5"/>
        <v>6.9372000000036691E-3</v>
      </c>
      <c r="Y45" s="24">
        <f t="shared" si="5"/>
        <v>6.9372000000036691E-3</v>
      </c>
      <c r="Z45" s="24">
        <f t="shared" si="5"/>
        <v>6.9372000000036691E-3</v>
      </c>
      <c r="AA45" s="24">
        <f t="shared" si="5"/>
        <v>6.9372000000036691E-3</v>
      </c>
    </row>
    <row r="46" spans="1:37" s="22" customFormat="1">
      <c r="A46" s="117"/>
      <c r="B46" s="23" t="s">
        <v>25</v>
      </c>
      <c r="C46" s="24">
        <f t="shared" ref="C46:AA46" si="6">$AI$16</f>
        <v>3.2800000000017347E-3</v>
      </c>
      <c r="D46" s="24">
        <f t="shared" si="6"/>
        <v>3.2800000000017347E-3</v>
      </c>
      <c r="E46" s="24">
        <f t="shared" si="6"/>
        <v>3.2800000000017347E-3</v>
      </c>
      <c r="F46" s="24">
        <f t="shared" si="6"/>
        <v>3.2800000000017347E-3</v>
      </c>
      <c r="G46" s="24">
        <f t="shared" si="6"/>
        <v>3.2800000000017347E-3</v>
      </c>
      <c r="H46" s="24">
        <f t="shared" si="6"/>
        <v>3.2800000000017347E-3</v>
      </c>
      <c r="I46" s="24">
        <f t="shared" si="6"/>
        <v>3.2800000000017347E-3</v>
      </c>
      <c r="J46" s="24">
        <f t="shared" si="6"/>
        <v>3.2800000000017347E-3</v>
      </c>
      <c r="K46" s="24">
        <f t="shared" si="6"/>
        <v>3.2800000000017347E-3</v>
      </c>
      <c r="L46" s="24">
        <f t="shared" si="6"/>
        <v>3.2800000000017347E-3</v>
      </c>
      <c r="M46" s="24">
        <f t="shared" si="6"/>
        <v>3.2800000000017347E-3</v>
      </c>
      <c r="N46" s="24">
        <f t="shared" si="6"/>
        <v>3.2800000000017347E-3</v>
      </c>
      <c r="O46" s="24">
        <f t="shared" si="6"/>
        <v>3.2800000000017347E-3</v>
      </c>
      <c r="P46" s="24">
        <f t="shared" si="6"/>
        <v>3.2800000000017347E-3</v>
      </c>
      <c r="Q46" s="24">
        <f t="shared" si="6"/>
        <v>3.2800000000017347E-3</v>
      </c>
      <c r="R46" s="24">
        <f t="shared" si="6"/>
        <v>3.2800000000017347E-3</v>
      </c>
      <c r="S46" s="24">
        <f t="shared" si="6"/>
        <v>3.2800000000017347E-3</v>
      </c>
      <c r="T46" s="24">
        <f t="shared" si="6"/>
        <v>3.2800000000017347E-3</v>
      </c>
      <c r="U46" s="24">
        <f t="shared" si="6"/>
        <v>3.2800000000017347E-3</v>
      </c>
      <c r="V46" s="24">
        <f t="shared" si="6"/>
        <v>3.2800000000017347E-3</v>
      </c>
      <c r="W46" s="24">
        <f t="shared" si="6"/>
        <v>3.2800000000017347E-3</v>
      </c>
      <c r="X46" s="24">
        <f t="shared" si="6"/>
        <v>3.2800000000017347E-3</v>
      </c>
      <c r="Y46" s="24">
        <f t="shared" si="6"/>
        <v>3.2800000000017347E-3</v>
      </c>
      <c r="Z46" s="24">
        <f t="shared" si="6"/>
        <v>3.2800000000017347E-3</v>
      </c>
      <c r="AA46" s="24">
        <f t="shared" si="6"/>
        <v>3.2800000000017347E-3</v>
      </c>
    </row>
    <row r="47" spans="1:37" s="22" customFormat="1">
      <c r="A47" s="117"/>
      <c r="B47" s="23" t="s">
        <v>27</v>
      </c>
      <c r="C47" s="24">
        <f t="shared" ref="C47:AA47" si="7">$AI$18</f>
        <v>0</v>
      </c>
      <c r="D47" s="24">
        <f t="shared" si="7"/>
        <v>0</v>
      </c>
      <c r="E47" s="24">
        <f t="shared" si="7"/>
        <v>0</v>
      </c>
      <c r="F47" s="24">
        <f t="shared" si="7"/>
        <v>0</v>
      </c>
      <c r="G47" s="24">
        <f t="shared" si="7"/>
        <v>0</v>
      </c>
      <c r="H47" s="24">
        <f t="shared" si="7"/>
        <v>0</v>
      </c>
      <c r="I47" s="24">
        <f t="shared" si="7"/>
        <v>0</v>
      </c>
      <c r="J47" s="24">
        <f t="shared" si="7"/>
        <v>0</v>
      </c>
      <c r="K47" s="24">
        <f t="shared" si="7"/>
        <v>0</v>
      </c>
      <c r="L47" s="24">
        <f t="shared" si="7"/>
        <v>0</v>
      </c>
      <c r="M47" s="24">
        <f t="shared" si="7"/>
        <v>0</v>
      </c>
      <c r="N47" s="24">
        <f t="shared" si="7"/>
        <v>0</v>
      </c>
      <c r="O47" s="24">
        <f t="shared" si="7"/>
        <v>0</v>
      </c>
      <c r="P47" s="24">
        <f t="shared" si="7"/>
        <v>0</v>
      </c>
      <c r="Q47" s="24">
        <f t="shared" si="7"/>
        <v>0</v>
      </c>
      <c r="R47" s="24">
        <f t="shared" si="7"/>
        <v>0</v>
      </c>
      <c r="S47" s="24">
        <f t="shared" si="7"/>
        <v>0</v>
      </c>
      <c r="T47" s="24">
        <f t="shared" si="7"/>
        <v>0</v>
      </c>
      <c r="U47" s="24">
        <f t="shared" si="7"/>
        <v>0</v>
      </c>
      <c r="V47" s="24">
        <f t="shared" si="7"/>
        <v>0</v>
      </c>
      <c r="W47" s="24">
        <f t="shared" si="7"/>
        <v>0</v>
      </c>
      <c r="X47" s="24">
        <f t="shared" si="7"/>
        <v>0</v>
      </c>
      <c r="Y47" s="24">
        <f t="shared" si="7"/>
        <v>0</v>
      </c>
      <c r="Z47" s="24">
        <f t="shared" si="7"/>
        <v>0</v>
      </c>
      <c r="AA47" s="24">
        <f t="shared" si="7"/>
        <v>0</v>
      </c>
    </row>
    <row r="48" spans="1:37">
      <c r="A48" s="118" t="s">
        <v>65</v>
      </c>
      <c r="B48" s="24" t="s">
        <v>33</v>
      </c>
      <c r="C48" s="24">
        <f t="shared" ref="C48:AA49" si="8">$AH22</f>
        <v>57.045999999999999</v>
      </c>
      <c r="D48" s="24">
        <f t="shared" si="8"/>
        <v>57.045999999999999</v>
      </c>
      <c r="E48" s="24">
        <f t="shared" si="8"/>
        <v>57.045999999999999</v>
      </c>
      <c r="F48" s="24">
        <f t="shared" si="8"/>
        <v>57.045999999999999</v>
      </c>
      <c r="G48" s="24">
        <f t="shared" si="8"/>
        <v>57.045999999999999</v>
      </c>
      <c r="H48" s="24">
        <f t="shared" si="8"/>
        <v>57.045999999999999</v>
      </c>
      <c r="I48" s="24">
        <f t="shared" si="8"/>
        <v>57.045999999999999</v>
      </c>
      <c r="J48" s="24">
        <f t="shared" si="8"/>
        <v>57.045999999999999</v>
      </c>
      <c r="K48" s="24">
        <f t="shared" si="8"/>
        <v>57.045999999999999</v>
      </c>
      <c r="L48" s="24">
        <f t="shared" si="8"/>
        <v>57.045999999999999</v>
      </c>
      <c r="M48" s="24">
        <f t="shared" si="8"/>
        <v>57.045999999999999</v>
      </c>
      <c r="N48" s="24">
        <f t="shared" si="8"/>
        <v>57.045999999999999</v>
      </c>
      <c r="O48" s="24">
        <f t="shared" si="8"/>
        <v>57.045999999999999</v>
      </c>
      <c r="P48" s="24">
        <f t="shared" si="8"/>
        <v>57.045999999999999</v>
      </c>
      <c r="Q48" s="24">
        <f t="shared" si="8"/>
        <v>57.045999999999999</v>
      </c>
      <c r="R48" s="24">
        <f t="shared" si="8"/>
        <v>57.045999999999999</v>
      </c>
      <c r="S48" s="24">
        <f t="shared" si="8"/>
        <v>57.045999999999999</v>
      </c>
      <c r="T48" s="24">
        <f t="shared" si="8"/>
        <v>57.045999999999999</v>
      </c>
      <c r="U48" s="24">
        <f t="shared" si="8"/>
        <v>57.045999999999999</v>
      </c>
      <c r="V48" s="24">
        <f t="shared" si="8"/>
        <v>57.045999999999999</v>
      </c>
      <c r="W48" s="24">
        <f t="shared" si="8"/>
        <v>57.045999999999999</v>
      </c>
      <c r="X48" s="24">
        <f t="shared" si="8"/>
        <v>57.045999999999999</v>
      </c>
      <c r="Y48" s="24">
        <f t="shared" si="8"/>
        <v>57.045999999999999</v>
      </c>
      <c r="Z48" s="24">
        <f t="shared" si="8"/>
        <v>57.045999999999999</v>
      </c>
      <c r="AA48" s="24">
        <f t="shared" si="8"/>
        <v>57.045999999999999</v>
      </c>
    </row>
    <row r="49" spans="1:27">
      <c r="A49" s="118"/>
      <c r="B49" s="24" t="s">
        <v>35</v>
      </c>
      <c r="C49" s="24">
        <f t="shared" si="8"/>
        <v>57</v>
      </c>
      <c r="D49" s="24">
        <f t="shared" si="8"/>
        <v>57</v>
      </c>
      <c r="E49" s="24">
        <f t="shared" si="8"/>
        <v>57</v>
      </c>
      <c r="F49" s="24">
        <f t="shared" si="8"/>
        <v>57</v>
      </c>
      <c r="G49" s="24">
        <f t="shared" si="8"/>
        <v>57</v>
      </c>
      <c r="H49" s="24">
        <f t="shared" si="8"/>
        <v>57</v>
      </c>
      <c r="I49" s="24">
        <f t="shared" si="8"/>
        <v>57</v>
      </c>
      <c r="J49" s="24">
        <f t="shared" si="8"/>
        <v>57</v>
      </c>
      <c r="K49" s="24">
        <f t="shared" si="8"/>
        <v>57</v>
      </c>
      <c r="L49" s="24">
        <f t="shared" si="8"/>
        <v>57</v>
      </c>
      <c r="M49" s="24">
        <f t="shared" si="8"/>
        <v>57</v>
      </c>
      <c r="N49" s="24">
        <f t="shared" si="8"/>
        <v>57</v>
      </c>
      <c r="O49" s="24">
        <f t="shared" si="8"/>
        <v>57</v>
      </c>
      <c r="P49" s="24">
        <f t="shared" si="8"/>
        <v>57</v>
      </c>
      <c r="Q49" s="24">
        <f t="shared" si="8"/>
        <v>57</v>
      </c>
      <c r="R49" s="24">
        <f t="shared" si="8"/>
        <v>57</v>
      </c>
      <c r="S49" s="24">
        <f t="shared" si="8"/>
        <v>57</v>
      </c>
      <c r="T49" s="24">
        <f t="shared" si="8"/>
        <v>57</v>
      </c>
      <c r="U49" s="24">
        <f t="shared" si="8"/>
        <v>57</v>
      </c>
      <c r="V49" s="24">
        <f t="shared" si="8"/>
        <v>57</v>
      </c>
      <c r="W49" s="24">
        <f t="shared" si="8"/>
        <v>57</v>
      </c>
      <c r="X49" s="24">
        <f t="shared" si="8"/>
        <v>57</v>
      </c>
      <c r="Y49" s="24">
        <f t="shared" si="8"/>
        <v>57</v>
      </c>
      <c r="Z49" s="24">
        <f t="shared" si="8"/>
        <v>57</v>
      </c>
      <c r="AA49" s="24">
        <f t="shared" si="8"/>
        <v>57</v>
      </c>
    </row>
  </sheetData>
  <mergeCells count="112">
    <mergeCell ref="A39:B39"/>
    <mergeCell ref="A42:A44"/>
    <mergeCell ref="A45:A47"/>
    <mergeCell ref="A48:A49"/>
    <mergeCell ref="AF35:AK35"/>
    <mergeCell ref="AB36:AE36"/>
    <mergeCell ref="AF36:AK36"/>
    <mergeCell ref="AB37:AE37"/>
    <mergeCell ref="AF37:AK37"/>
    <mergeCell ref="A38:B38"/>
    <mergeCell ref="AB38:AE38"/>
    <mergeCell ref="AF38:AK38"/>
    <mergeCell ref="AB27:AC27"/>
    <mergeCell ref="AD27:AG27"/>
    <mergeCell ref="AH27:AK27"/>
    <mergeCell ref="AB28:AK28"/>
    <mergeCell ref="AB29:AK33"/>
    <mergeCell ref="A31:B31"/>
    <mergeCell ref="A32:B32"/>
    <mergeCell ref="A33:A37"/>
    <mergeCell ref="AB34:AK34"/>
    <mergeCell ref="AB35:AE35"/>
    <mergeCell ref="A19:A30"/>
    <mergeCell ref="AB19:AK19"/>
    <mergeCell ref="AB20:AC20"/>
    <mergeCell ref="AD20:AG20"/>
    <mergeCell ref="AH20:AK20"/>
    <mergeCell ref="AB21:AC21"/>
    <mergeCell ref="AD21:AG21"/>
    <mergeCell ref="AH21:AK21"/>
    <mergeCell ref="AB25:AC25"/>
    <mergeCell ref="AD25:AG25"/>
    <mergeCell ref="AH25:AK25"/>
    <mergeCell ref="AB26:AC26"/>
    <mergeCell ref="AD26:AG26"/>
    <mergeCell ref="AH26:AK26"/>
    <mergeCell ref="AH22:AK22"/>
    <mergeCell ref="AB23:AC23"/>
    <mergeCell ref="AD23:AG23"/>
    <mergeCell ref="AH23:AK23"/>
    <mergeCell ref="AB24:AC24"/>
    <mergeCell ref="AD24:AG24"/>
    <mergeCell ref="AH24:AK24"/>
    <mergeCell ref="AB22:AC22"/>
    <mergeCell ref="AD22:AG22"/>
    <mergeCell ref="AC16:AC18"/>
    <mergeCell ref="AD16:AE16"/>
    <mergeCell ref="AF16:AH16"/>
    <mergeCell ref="AI16:AK16"/>
    <mergeCell ref="AD17:AE17"/>
    <mergeCell ref="AF17:AH17"/>
    <mergeCell ref="AI17:AK17"/>
    <mergeCell ref="AD18:AE18"/>
    <mergeCell ref="AF18:AH18"/>
    <mergeCell ref="AI18:AK18"/>
    <mergeCell ref="AF13:AH13"/>
    <mergeCell ref="AI13:AK13"/>
    <mergeCell ref="AD14:AE14"/>
    <mergeCell ref="AF14:AH14"/>
    <mergeCell ref="AI14:AK14"/>
    <mergeCell ref="AD15:AE15"/>
    <mergeCell ref="AF15:AH15"/>
    <mergeCell ref="AI15:AK15"/>
    <mergeCell ref="AD11:AE11"/>
    <mergeCell ref="AF11:AG11"/>
    <mergeCell ref="AJ11:AK11"/>
    <mergeCell ref="A7:A18"/>
    <mergeCell ref="AB7:AK7"/>
    <mergeCell ref="AB8:AC11"/>
    <mergeCell ref="AD8:AE8"/>
    <mergeCell ref="AF8:AG8"/>
    <mergeCell ref="AJ8:AK8"/>
    <mergeCell ref="A6:C6"/>
    <mergeCell ref="D6:H6"/>
    <mergeCell ref="I6:K6"/>
    <mergeCell ref="L6:M6"/>
    <mergeCell ref="O6:P6"/>
    <mergeCell ref="R6:U6"/>
    <mergeCell ref="AB12:AB18"/>
    <mergeCell ref="AC12:AE12"/>
    <mergeCell ref="AF12:AH12"/>
    <mergeCell ref="AI12:AK12"/>
    <mergeCell ref="AC13:AC15"/>
    <mergeCell ref="AD13:AE13"/>
    <mergeCell ref="AD9:AE9"/>
    <mergeCell ref="AF9:AG9"/>
    <mergeCell ref="AJ9:AK9"/>
    <mergeCell ref="AD10:AE10"/>
    <mergeCell ref="AF10:AG10"/>
    <mergeCell ref="AJ10:AK10"/>
    <mergeCell ref="A5:C5"/>
    <mergeCell ref="D5:H5"/>
    <mergeCell ref="I5:K5"/>
    <mergeCell ref="L5:Q5"/>
    <mergeCell ref="R5:U5"/>
    <mergeCell ref="V5:AA5"/>
    <mergeCell ref="AB5:AE5"/>
    <mergeCell ref="AF5:AK5"/>
    <mergeCell ref="V6:AA6"/>
    <mergeCell ref="AB6:AE6"/>
    <mergeCell ref="AF6:AK6"/>
    <mergeCell ref="A2:C3"/>
    <mergeCell ref="D2:AE3"/>
    <mergeCell ref="AF2:AK3"/>
    <mergeCell ref="A4:C4"/>
    <mergeCell ref="D4:H4"/>
    <mergeCell ref="I4:K4"/>
    <mergeCell ref="L4:Q4"/>
    <mergeCell ref="R4:U4"/>
    <mergeCell ref="V4:AA4"/>
    <mergeCell ref="AB4:AE4"/>
    <mergeCell ref="AF4:AK4"/>
  </mergeCells>
  <printOptions horizontalCentered="1" verticalCentered="1"/>
  <pageMargins left="0.19685039370078741" right="0.19685039370078741" top="0.19685039370078741" bottom="0.19685039370078741" header="0" footer="0"/>
  <pageSetup paperSize="9" scale="58" orientation="landscape" horizontalDpi="4294967294" r:id="rId1"/>
  <headerFooter scaleWithDoc="0" alignWithMargins="0"/>
  <drawing r:id="rId2"/>
  <legacyDrawing r:id="rId3"/>
  <oleObjects>
    <oleObject progId="Equation.3" shapeId="3073" r:id="rId4"/>
    <oleObject progId="Equation.3" shapeId="3074" r:id="rId5"/>
    <oleObject progId="Equation.3" shapeId="3075" r:id="rId6"/>
    <oleObject progId="Equation.3" shapeId="3076" r:id="rId7"/>
    <oleObject progId="Equation.3" shapeId="3077" r:id="rId8"/>
    <oleObject progId="Equation.3" shapeId="3078" r:id="rId9"/>
    <oleObject progId="Equation.3" shapeId="3079" r:id="rId10"/>
    <oleObject progId="Equation.3" shapeId="3080" r:id="rId11"/>
  </oleObjects>
</worksheet>
</file>

<file path=xl/worksheets/sheet3.xml><?xml version="1.0" encoding="utf-8"?>
<worksheet xmlns="http://schemas.openxmlformats.org/spreadsheetml/2006/main" xmlns:r="http://schemas.openxmlformats.org/officeDocument/2006/relationships">
  <dimension ref="B4:K4"/>
  <sheetViews>
    <sheetView workbookViewId="0">
      <selection activeCell="Q17" sqref="Q17"/>
    </sheetView>
  </sheetViews>
  <sheetFormatPr defaultRowHeight="15"/>
  <cols>
    <col min="3" max="3" width="10.28515625" bestFit="1" customWidth="1"/>
    <col min="4" max="4" width="11.28515625" bestFit="1" customWidth="1"/>
    <col min="7" max="8" width="10.42578125" bestFit="1" customWidth="1"/>
    <col min="9" max="9" width="10" bestFit="1" customWidth="1"/>
    <col min="10" max="11" width="10.42578125" bestFit="1" customWidth="1"/>
  </cols>
  <sheetData>
    <row r="4" spans="2:11">
      <c r="B4" t="s">
        <v>81</v>
      </c>
      <c r="C4" t="s">
        <v>82</v>
      </c>
      <c r="D4" t="s">
        <v>83</v>
      </c>
      <c r="E4" t="s">
        <v>84</v>
      </c>
      <c r="F4" t="s">
        <v>85</v>
      </c>
      <c r="G4" t="s">
        <v>86</v>
      </c>
      <c r="H4" t="s">
        <v>87</v>
      </c>
      <c r="I4" t="s">
        <v>88</v>
      </c>
      <c r="J4" t="s">
        <v>89</v>
      </c>
      <c r="K4" t="s">
        <v>90</v>
      </c>
    </row>
  </sheetData>
  <pageMargins left="0.7" right="0.7" top="0.75" bottom="0.75" header="0.3" footer="0.3"/>
  <pageSetup paperSize="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Ppk</vt:lpstr>
      <vt:lpstr>Cpk</vt:lpstr>
      <vt:lpstr>Sheet1</vt:lpstr>
      <vt:lpstr>Cpk!Print_Area</vt:lpstr>
      <vt:lpstr>Ppk!Print_Area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105855</cp:lastModifiedBy>
  <cp:lastPrinted>2019-12-04T15:42:50Z</cp:lastPrinted>
  <dcterms:created xsi:type="dcterms:W3CDTF">2016-11-17T09:47:46Z</dcterms:created>
  <dcterms:modified xsi:type="dcterms:W3CDTF">2026-07-22T05:04:04Z</dcterms:modified>
</cp:coreProperties>
</file>